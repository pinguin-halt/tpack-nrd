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novie/Library/CloudStorage/GoogleDrive-noviratnadewi@mail.unnes.ac.id/My Drive/NEW/NEW/Penelitian dan Pengabdian/0. Publikasi/Draft/2026/PjBL, TPACK, STEM, ESD/"/>
    </mc:Choice>
  </mc:AlternateContent>
  <xr:revisionPtr revIDLastSave="0" documentId="13_ncr:1_{F0D57073-0BC8-0C40-BBFD-A38C240AF92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ata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01" i="1" l="1"/>
  <c r="AN101" i="1"/>
  <c r="AM101" i="1"/>
  <c r="W101" i="1"/>
  <c r="V101" i="1"/>
  <c r="U101" i="1"/>
  <c r="AO100" i="1"/>
  <c r="AN100" i="1"/>
  <c r="AM100" i="1"/>
  <c r="W100" i="1"/>
  <c r="V100" i="1"/>
  <c r="U100" i="1"/>
  <c r="AO99" i="1"/>
  <c r="AN99" i="1"/>
  <c r="AM99" i="1"/>
  <c r="W99" i="1"/>
  <c r="V99" i="1"/>
  <c r="U99" i="1"/>
  <c r="AO98" i="1"/>
  <c r="AN98" i="1"/>
  <c r="AM98" i="1"/>
  <c r="W98" i="1"/>
  <c r="V98" i="1"/>
  <c r="U98" i="1"/>
  <c r="AO97" i="1"/>
  <c r="AN97" i="1"/>
  <c r="AM97" i="1"/>
  <c r="W97" i="1"/>
  <c r="V97" i="1"/>
  <c r="U97" i="1"/>
  <c r="AO96" i="1"/>
  <c r="AN96" i="1"/>
  <c r="AM96" i="1"/>
  <c r="W96" i="1"/>
  <c r="V96" i="1"/>
  <c r="U96" i="1"/>
  <c r="AO95" i="1"/>
  <c r="AN95" i="1"/>
  <c r="AM95" i="1"/>
  <c r="W95" i="1"/>
  <c r="V95" i="1"/>
  <c r="U95" i="1"/>
  <c r="AO94" i="1"/>
  <c r="AN94" i="1"/>
  <c r="AM94" i="1"/>
  <c r="W94" i="1"/>
  <c r="V94" i="1"/>
  <c r="U94" i="1"/>
  <c r="AO93" i="1"/>
  <c r="AN93" i="1"/>
  <c r="AM93" i="1"/>
  <c r="W93" i="1"/>
  <c r="V93" i="1"/>
  <c r="U93" i="1"/>
  <c r="AO92" i="1"/>
  <c r="AN92" i="1"/>
  <c r="AM92" i="1"/>
  <c r="W92" i="1"/>
  <c r="V92" i="1"/>
  <c r="U92" i="1"/>
  <c r="AO91" i="1"/>
  <c r="AN91" i="1"/>
  <c r="AM91" i="1"/>
  <c r="W91" i="1"/>
  <c r="V91" i="1"/>
  <c r="U91" i="1"/>
  <c r="AO90" i="1"/>
  <c r="AN90" i="1"/>
  <c r="AM90" i="1"/>
  <c r="W90" i="1"/>
  <c r="V90" i="1"/>
  <c r="U90" i="1"/>
  <c r="AO89" i="1"/>
  <c r="AN89" i="1"/>
  <c r="AM89" i="1"/>
  <c r="W89" i="1"/>
  <c r="V89" i="1"/>
  <c r="U89" i="1"/>
  <c r="AO88" i="1"/>
  <c r="AN88" i="1"/>
  <c r="AM88" i="1"/>
  <c r="W88" i="1"/>
  <c r="V88" i="1"/>
  <c r="U88" i="1"/>
  <c r="AO87" i="1"/>
  <c r="AN87" i="1"/>
  <c r="AM87" i="1"/>
  <c r="W87" i="1"/>
  <c r="V87" i="1"/>
  <c r="U87" i="1"/>
  <c r="AO86" i="1"/>
  <c r="AN86" i="1"/>
  <c r="AM86" i="1"/>
  <c r="W86" i="1"/>
  <c r="V86" i="1"/>
  <c r="U86" i="1"/>
  <c r="AO85" i="1"/>
  <c r="AN85" i="1"/>
  <c r="AM85" i="1"/>
  <c r="W85" i="1"/>
  <c r="V85" i="1"/>
  <c r="U85" i="1"/>
  <c r="AO84" i="1"/>
  <c r="AN84" i="1"/>
  <c r="AM84" i="1"/>
  <c r="W84" i="1"/>
  <c r="V84" i="1"/>
  <c r="U84" i="1"/>
  <c r="AO83" i="1"/>
  <c r="AN83" i="1"/>
  <c r="AM83" i="1"/>
  <c r="W83" i="1"/>
  <c r="V83" i="1"/>
  <c r="U83" i="1"/>
  <c r="AO82" i="1"/>
  <c r="AN82" i="1"/>
  <c r="AM82" i="1"/>
  <c r="W82" i="1"/>
  <c r="V82" i="1"/>
  <c r="U82" i="1"/>
  <c r="AO81" i="1"/>
  <c r="AN81" i="1"/>
  <c r="AM81" i="1"/>
  <c r="W81" i="1"/>
  <c r="V81" i="1"/>
  <c r="U81" i="1"/>
  <c r="AO80" i="1"/>
  <c r="AN80" i="1"/>
  <c r="AM80" i="1"/>
  <c r="W80" i="1"/>
  <c r="V80" i="1"/>
  <c r="U80" i="1"/>
  <c r="AO79" i="1"/>
  <c r="AN79" i="1"/>
  <c r="AM79" i="1"/>
  <c r="W79" i="1"/>
  <c r="V79" i="1"/>
  <c r="U79" i="1"/>
  <c r="AO78" i="1"/>
  <c r="AN78" i="1"/>
  <c r="AM78" i="1"/>
  <c r="W78" i="1"/>
  <c r="V78" i="1"/>
  <c r="U78" i="1"/>
  <c r="AO77" i="1"/>
  <c r="AN77" i="1"/>
  <c r="AM77" i="1"/>
  <c r="W77" i="1"/>
  <c r="V77" i="1"/>
  <c r="U77" i="1"/>
  <c r="AO76" i="1"/>
  <c r="AN76" i="1"/>
  <c r="AM76" i="1"/>
  <c r="W76" i="1"/>
  <c r="V76" i="1"/>
  <c r="U76" i="1"/>
  <c r="AO75" i="1"/>
  <c r="AN75" i="1"/>
  <c r="AM75" i="1"/>
  <c r="W75" i="1"/>
  <c r="V75" i="1"/>
  <c r="U75" i="1"/>
  <c r="AO74" i="1"/>
  <c r="AN74" i="1"/>
  <c r="AM74" i="1"/>
  <c r="W74" i="1"/>
  <c r="V74" i="1"/>
  <c r="U74" i="1"/>
  <c r="AO73" i="1"/>
  <c r="AN73" i="1"/>
  <c r="AM73" i="1"/>
  <c r="W73" i="1"/>
  <c r="V73" i="1"/>
  <c r="U73" i="1"/>
  <c r="AO72" i="1"/>
  <c r="AN72" i="1"/>
  <c r="AM72" i="1"/>
  <c r="W72" i="1"/>
  <c r="V72" i="1"/>
  <c r="U72" i="1"/>
  <c r="AO71" i="1"/>
  <c r="AN71" i="1"/>
  <c r="AM71" i="1"/>
  <c r="W71" i="1"/>
  <c r="V71" i="1"/>
  <c r="U71" i="1"/>
  <c r="AO70" i="1"/>
  <c r="AN70" i="1"/>
  <c r="AM70" i="1"/>
  <c r="W70" i="1"/>
  <c r="V70" i="1"/>
  <c r="U70" i="1"/>
  <c r="AO69" i="1"/>
  <c r="AN69" i="1"/>
  <c r="AM69" i="1"/>
  <c r="AP69" i="1" s="1"/>
  <c r="W69" i="1"/>
  <c r="V69" i="1"/>
  <c r="U69" i="1"/>
  <c r="AO68" i="1"/>
  <c r="AN68" i="1"/>
  <c r="AM68" i="1"/>
  <c r="W68" i="1"/>
  <c r="V68" i="1"/>
  <c r="U68" i="1"/>
  <c r="AO67" i="1"/>
  <c r="AN67" i="1"/>
  <c r="AM67" i="1"/>
  <c r="W67" i="1"/>
  <c r="V67" i="1"/>
  <c r="U67" i="1"/>
  <c r="X67" i="1" s="1"/>
  <c r="AO66" i="1"/>
  <c r="AN66" i="1"/>
  <c r="AM66" i="1"/>
  <c r="W66" i="1"/>
  <c r="V66" i="1"/>
  <c r="U66" i="1"/>
  <c r="AO65" i="1"/>
  <c r="AN65" i="1"/>
  <c r="AM65" i="1"/>
  <c r="AP65" i="1" s="1"/>
  <c r="W65" i="1"/>
  <c r="V65" i="1"/>
  <c r="U65" i="1"/>
  <c r="AO64" i="1"/>
  <c r="AN64" i="1"/>
  <c r="AM64" i="1"/>
  <c r="W64" i="1"/>
  <c r="V64" i="1"/>
  <c r="U64" i="1"/>
  <c r="AO63" i="1"/>
  <c r="AN63" i="1"/>
  <c r="AM63" i="1"/>
  <c r="W63" i="1"/>
  <c r="V63" i="1"/>
  <c r="U63" i="1"/>
  <c r="X63" i="1" s="1"/>
  <c r="AO62" i="1"/>
  <c r="AN62" i="1"/>
  <c r="AM62" i="1"/>
  <c r="W62" i="1"/>
  <c r="V62" i="1"/>
  <c r="U62" i="1"/>
  <c r="AO61" i="1"/>
  <c r="AN61" i="1"/>
  <c r="AM61" i="1"/>
  <c r="AP61" i="1" s="1"/>
  <c r="W61" i="1"/>
  <c r="V61" i="1"/>
  <c r="U61" i="1"/>
  <c r="AO60" i="1"/>
  <c r="AN60" i="1"/>
  <c r="AM60" i="1"/>
  <c r="W60" i="1"/>
  <c r="V60" i="1"/>
  <c r="U60" i="1"/>
  <c r="AO59" i="1"/>
  <c r="AN59" i="1"/>
  <c r="AM59" i="1"/>
  <c r="W59" i="1"/>
  <c r="V59" i="1"/>
  <c r="U59" i="1"/>
  <c r="X59" i="1" s="1"/>
  <c r="AO58" i="1"/>
  <c r="AN58" i="1"/>
  <c r="AM58" i="1"/>
  <c r="W58" i="1"/>
  <c r="V58" i="1"/>
  <c r="U58" i="1"/>
  <c r="AO57" i="1"/>
  <c r="AN57" i="1"/>
  <c r="AM57" i="1"/>
  <c r="AP57" i="1" s="1"/>
  <c r="W57" i="1"/>
  <c r="V57" i="1"/>
  <c r="U57" i="1"/>
  <c r="AO56" i="1"/>
  <c r="AN56" i="1"/>
  <c r="AM56" i="1"/>
  <c r="W56" i="1"/>
  <c r="V56" i="1"/>
  <c r="U56" i="1"/>
  <c r="AO55" i="1"/>
  <c r="AN55" i="1"/>
  <c r="AM55" i="1"/>
  <c r="W55" i="1"/>
  <c r="V55" i="1"/>
  <c r="U55" i="1"/>
  <c r="AO54" i="1"/>
  <c r="AN54" i="1"/>
  <c r="AM54" i="1"/>
  <c r="W54" i="1"/>
  <c r="V54" i="1"/>
  <c r="U54" i="1"/>
  <c r="AO53" i="1"/>
  <c r="AN53" i="1"/>
  <c r="AM53" i="1"/>
  <c r="AP53" i="1" s="1"/>
  <c r="W53" i="1"/>
  <c r="V53" i="1"/>
  <c r="U53" i="1"/>
  <c r="AO52" i="1"/>
  <c r="AN52" i="1"/>
  <c r="AM52" i="1"/>
  <c r="W52" i="1"/>
  <c r="V52" i="1"/>
  <c r="U52" i="1"/>
  <c r="AO51" i="1"/>
  <c r="AN51" i="1"/>
  <c r="AM51" i="1"/>
  <c r="W51" i="1"/>
  <c r="V51" i="1"/>
  <c r="U51" i="1"/>
  <c r="X51" i="1" s="1"/>
  <c r="AO50" i="1"/>
  <c r="AN50" i="1"/>
  <c r="AM50" i="1"/>
  <c r="W50" i="1"/>
  <c r="V50" i="1"/>
  <c r="U50" i="1"/>
  <c r="AO49" i="1"/>
  <c r="AN49" i="1"/>
  <c r="AM49" i="1"/>
  <c r="AP49" i="1" s="1"/>
  <c r="W49" i="1"/>
  <c r="V49" i="1"/>
  <c r="U49" i="1"/>
  <c r="AO48" i="1"/>
  <c r="AN48" i="1"/>
  <c r="AM48" i="1"/>
  <c r="W48" i="1"/>
  <c r="V48" i="1"/>
  <c r="U48" i="1"/>
  <c r="AO47" i="1"/>
  <c r="AN47" i="1"/>
  <c r="AM47" i="1"/>
  <c r="W47" i="1"/>
  <c r="V47" i="1"/>
  <c r="U47" i="1"/>
  <c r="X47" i="1" s="1"/>
  <c r="AO46" i="1"/>
  <c r="AN46" i="1"/>
  <c r="AM46" i="1"/>
  <c r="W46" i="1"/>
  <c r="V46" i="1"/>
  <c r="U46" i="1"/>
  <c r="AO45" i="1"/>
  <c r="AN45" i="1"/>
  <c r="AM45" i="1"/>
  <c r="AP45" i="1" s="1"/>
  <c r="W45" i="1"/>
  <c r="V45" i="1"/>
  <c r="U45" i="1"/>
  <c r="AO44" i="1"/>
  <c r="AN44" i="1"/>
  <c r="AM44" i="1"/>
  <c r="W44" i="1"/>
  <c r="V44" i="1"/>
  <c r="U44" i="1"/>
  <c r="AO43" i="1"/>
  <c r="AN43" i="1"/>
  <c r="AM43" i="1"/>
  <c r="W43" i="1"/>
  <c r="V43" i="1"/>
  <c r="U43" i="1"/>
  <c r="X43" i="1" s="1"/>
  <c r="AO42" i="1"/>
  <c r="AN42" i="1"/>
  <c r="AM42" i="1"/>
  <c r="W42" i="1"/>
  <c r="X42" i="1" s="1"/>
  <c r="V42" i="1"/>
  <c r="U42" i="1"/>
  <c r="AO41" i="1"/>
  <c r="AN41" i="1"/>
  <c r="AM41" i="1"/>
  <c r="W41" i="1"/>
  <c r="V41" i="1"/>
  <c r="U41" i="1"/>
  <c r="AO40" i="1"/>
  <c r="AN40" i="1"/>
  <c r="AM40" i="1"/>
  <c r="W40" i="1"/>
  <c r="V40" i="1"/>
  <c r="U40" i="1"/>
  <c r="AO39" i="1"/>
  <c r="AN39" i="1"/>
  <c r="AM39" i="1"/>
  <c r="W39" i="1"/>
  <c r="V39" i="1"/>
  <c r="U39" i="1"/>
  <c r="X39" i="1" s="1"/>
  <c r="AO38" i="1"/>
  <c r="AN38" i="1"/>
  <c r="AM38" i="1"/>
  <c r="W38" i="1"/>
  <c r="V38" i="1"/>
  <c r="U38" i="1"/>
  <c r="AO37" i="1"/>
  <c r="AN37" i="1"/>
  <c r="AM37" i="1"/>
  <c r="W37" i="1"/>
  <c r="V37" i="1"/>
  <c r="U37" i="1"/>
  <c r="AO36" i="1"/>
  <c r="AN36" i="1"/>
  <c r="AM36" i="1"/>
  <c r="W36" i="1"/>
  <c r="V36" i="1"/>
  <c r="U36" i="1"/>
  <c r="AO35" i="1"/>
  <c r="AN35" i="1"/>
  <c r="AM35" i="1"/>
  <c r="W35" i="1"/>
  <c r="V35" i="1"/>
  <c r="U35" i="1"/>
  <c r="X35" i="1" s="1"/>
  <c r="AO34" i="1"/>
  <c r="AN34" i="1"/>
  <c r="AM34" i="1"/>
  <c r="W34" i="1"/>
  <c r="X34" i="1" s="1"/>
  <c r="V34" i="1"/>
  <c r="U34" i="1"/>
  <c r="AO33" i="1"/>
  <c r="AN33" i="1"/>
  <c r="AM33" i="1"/>
  <c r="W33" i="1"/>
  <c r="V33" i="1"/>
  <c r="U33" i="1"/>
  <c r="AO32" i="1"/>
  <c r="AN32" i="1"/>
  <c r="AM32" i="1"/>
  <c r="W32" i="1"/>
  <c r="V32" i="1"/>
  <c r="U32" i="1"/>
  <c r="AO31" i="1"/>
  <c r="AN31" i="1"/>
  <c r="AM31" i="1"/>
  <c r="W31" i="1"/>
  <c r="V31" i="1"/>
  <c r="U31" i="1"/>
  <c r="AO30" i="1"/>
  <c r="AN30" i="1"/>
  <c r="AM30" i="1"/>
  <c r="W30" i="1"/>
  <c r="V30" i="1"/>
  <c r="U30" i="1"/>
  <c r="AO29" i="1"/>
  <c r="AN29" i="1"/>
  <c r="AM29" i="1"/>
  <c r="W29" i="1"/>
  <c r="V29" i="1"/>
  <c r="U29" i="1"/>
  <c r="AO28" i="1"/>
  <c r="AN28" i="1"/>
  <c r="AM28" i="1"/>
  <c r="W28" i="1"/>
  <c r="V28" i="1"/>
  <c r="U28" i="1"/>
  <c r="X28" i="1" s="1"/>
  <c r="AO27" i="1"/>
  <c r="AN27" i="1"/>
  <c r="AM27" i="1"/>
  <c r="W27" i="1"/>
  <c r="V27" i="1"/>
  <c r="U27" i="1"/>
  <c r="AO26" i="1"/>
  <c r="AN26" i="1"/>
  <c r="AM26" i="1"/>
  <c r="W26" i="1"/>
  <c r="V26" i="1"/>
  <c r="U26" i="1"/>
  <c r="AO25" i="1"/>
  <c r="AN25" i="1"/>
  <c r="AM25" i="1"/>
  <c r="W25" i="1"/>
  <c r="V25" i="1"/>
  <c r="U25" i="1"/>
  <c r="AO24" i="1"/>
  <c r="AN24" i="1"/>
  <c r="AM24" i="1"/>
  <c r="W24" i="1"/>
  <c r="V24" i="1"/>
  <c r="U24" i="1"/>
  <c r="AO23" i="1"/>
  <c r="AN23" i="1"/>
  <c r="AM23" i="1"/>
  <c r="W23" i="1"/>
  <c r="V23" i="1"/>
  <c r="U23" i="1"/>
  <c r="AO22" i="1"/>
  <c r="AN22" i="1"/>
  <c r="AM22" i="1"/>
  <c r="W22" i="1"/>
  <c r="V22" i="1"/>
  <c r="U22" i="1"/>
  <c r="AO21" i="1"/>
  <c r="AN21" i="1"/>
  <c r="AM21" i="1"/>
  <c r="W21" i="1"/>
  <c r="V21" i="1"/>
  <c r="U21" i="1"/>
  <c r="AO20" i="1"/>
  <c r="AN20" i="1"/>
  <c r="AM20" i="1"/>
  <c r="W20" i="1"/>
  <c r="V20" i="1"/>
  <c r="U20" i="1"/>
  <c r="AO19" i="1"/>
  <c r="AN19" i="1"/>
  <c r="AM19" i="1"/>
  <c r="W19" i="1"/>
  <c r="V19" i="1"/>
  <c r="U19" i="1"/>
  <c r="AO18" i="1"/>
  <c r="AN18" i="1"/>
  <c r="AM18" i="1"/>
  <c r="W18" i="1"/>
  <c r="V18" i="1"/>
  <c r="U18" i="1"/>
  <c r="AO17" i="1"/>
  <c r="AN17" i="1"/>
  <c r="AM17" i="1"/>
  <c r="W17" i="1"/>
  <c r="V17" i="1"/>
  <c r="U17" i="1"/>
  <c r="AO16" i="1"/>
  <c r="AN16" i="1"/>
  <c r="AM16" i="1"/>
  <c r="W16" i="1"/>
  <c r="V16" i="1"/>
  <c r="U16" i="1"/>
  <c r="AO15" i="1"/>
  <c r="AN15" i="1"/>
  <c r="AM15" i="1"/>
  <c r="W15" i="1"/>
  <c r="V15" i="1"/>
  <c r="U15" i="1"/>
  <c r="AO14" i="1"/>
  <c r="AN14" i="1"/>
  <c r="AM14" i="1"/>
  <c r="W14" i="1"/>
  <c r="V14" i="1"/>
  <c r="U14" i="1"/>
  <c r="AO13" i="1"/>
  <c r="AN13" i="1"/>
  <c r="AM13" i="1"/>
  <c r="W13" i="1"/>
  <c r="V13" i="1"/>
  <c r="U13" i="1"/>
  <c r="AO12" i="1"/>
  <c r="AN12" i="1"/>
  <c r="AM12" i="1"/>
  <c r="W12" i="1"/>
  <c r="V12" i="1"/>
  <c r="U12" i="1"/>
  <c r="AO11" i="1"/>
  <c r="AN11" i="1"/>
  <c r="AM11" i="1"/>
  <c r="W11" i="1"/>
  <c r="V11" i="1"/>
  <c r="U11" i="1"/>
  <c r="AO10" i="1"/>
  <c r="AN10" i="1"/>
  <c r="AM10" i="1"/>
  <c r="W10" i="1"/>
  <c r="V10" i="1"/>
  <c r="U10" i="1"/>
  <c r="AO9" i="1"/>
  <c r="AN9" i="1"/>
  <c r="AM9" i="1"/>
  <c r="W9" i="1"/>
  <c r="V9" i="1"/>
  <c r="U9" i="1"/>
  <c r="AO8" i="1"/>
  <c r="AN8" i="1"/>
  <c r="AM8" i="1"/>
  <c r="W8" i="1"/>
  <c r="V8" i="1"/>
  <c r="U8" i="1"/>
  <c r="AO7" i="1"/>
  <c r="AN7" i="1"/>
  <c r="AM7" i="1"/>
  <c r="W7" i="1"/>
  <c r="V7" i="1"/>
  <c r="U7" i="1"/>
  <c r="AO6" i="1"/>
  <c r="AN6" i="1"/>
  <c r="AM6" i="1"/>
  <c r="W6" i="1"/>
  <c r="V6" i="1"/>
  <c r="U6" i="1"/>
  <c r="AO5" i="1"/>
  <c r="AN5" i="1"/>
  <c r="AM5" i="1"/>
  <c r="W5" i="1"/>
  <c r="V5" i="1"/>
  <c r="U5" i="1"/>
  <c r="AO4" i="1"/>
  <c r="AN4" i="1"/>
  <c r="AM4" i="1"/>
  <c r="W4" i="1"/>
  <c r="V4" i="1"/>
  <c r="U4" i="1"/>
  <c r="AO3" i="1"/>
  <c r="AN3" i="1"/>
  <c r="AM3" i="1"/>
  <c r="W3" i="1"/>
  <c r="V3" i="1"/>
  <c r="U3" i="1"/>
  <c r="AO2" i="1"/>
  <c r="AN2" i="1"/>
  <c r="AM2" i="1"/>
  <c r="W2" i="1"/>
  <c r="V2" i="1"/>
  <c r="U2" i="1"/>
  <c r="X64" i="1" l="1"/>
  <c r="X55" i="1"/>
  <c r="AP4" i="1"/>
  <c r="AP8" i="1"/>
  <c r="AP12" i="1"/>
  <c r="AP16" i="1"/>
  <c r="AP24" i="1"/>
  <c r="AP32" i="1"/>
  <c r="AP40" i="1"/>
  <c r="X90" i="1"/>
  <c r="AP5" i="1"/>
  <c r="AP9" i="1"/>
  <c r="AP13" i="1"/>
  <c r="AP17" i="1"/>
  <c r="AP21" i="1"/>
  <c r="AP25" i="1"/>
  <c r="AP29" i="1"/>
  <c r="AP33" i="1"/>
  <c r="AP37" i="1"/>
  <c r="AP41" i="1"/>
  <c r="X72" i="1"/>
  <c r="AP73" i="1"/>
  <c r="AP77" i="1"/>
  <c r="AP81" i="1"/>
  <c r="AP85" i="1"/>
  <c r="AP89" i="1"/>
  <c r="AP93" i="1"/>
  <c r="X96" i="1"/>
  <c r="X71" i="1"/>
  <c r="X75" i="1"/>
  <c r="X79" i="1"/>
  <c r="X83" i="1"/>
  <c r="X87" i="1"/>
  <c r="X18" i="1"/>
  <c r="X38" i="1"/>
  <c r="AP43" i="1"/>
  <c r="AP47" i="1"/>
  <c r="AP51" i="1"/>
  <c r="AP55" i="1"/>
  <c r="AP59" i="1"/>
  <c r="AP63" i="1"/>
  <c r="AP67" i="1"/>
  <c r="AP71" i="1"/>
  <c r="AP75" i="1"/>
  <c r="AP79" i="1"/>
  <c r="AP83" i="1"/>
  <c r="AP87" i="1"/>
  <c r="AP91" i="1"/>
  <c r="AP95" i="1"/>
  <c r="AP2" i="1"/>
  <c r="AP6" i="1"/>
  <c r="AP10" i="1"/>
  <c r="AP14" i="1"/>
  <c r="AP22" i="1"/>
  <c r="AP30" i="1"/>
  <c r="AP38" i="1"/>
  <c r="AP42" i="1"/>
  <c r="AP46" i="1"/>
  <c r="AP50" i="1"/>
  <c r="AP54" i="1"/>
  <c r="AP58" i="1"/>
  <c r="AP62" i="1"/>
  <c r="AP66" i="1"/>
  <c r="AP70" i="1"/>
  <c r="AP74" i="1"/>
  <c r="AP78" i="1"/>
  <c r="AP82" i="1"/>
  <c r="AP86" i="1"/>
  <c r="AP90" i="1"/>
  <c r="AP94" i="1"/>
  <c r="AP44" i="1"/>
  <c r="AP48" i="1"/>
  <c r="AP52" i="1"/>
  <c r="AP56" i="1"/>
  <c r="AP60" i="1"/>
  <c r="AP64" i="1"/>
  <c r="AP68" i="1"/>
  <c r="AP72" i="1"/>
  <c r="AP76" i="1"/>
  <c r="AP80" i="1"/>
  <c r="AP84" i="1"/>
  <c r="AP88" i="1"/>
  <c r="AP92" i="1"/>
  <c r="AP96" i="1"/>
  <c r="AP3" i="1"/>
  <c r="AP7" i="1"/>
  <c r="AP11" i="1"/>
  <c r="AP15" i="1"/>
  <c r="AP19" i="1"/>
  <c r="AP23" i="1"/>
  <c r="AP27" i="1"/>
  <c r="AP31" i="1"/>
  <c r="AP35" i="1"/>
  <c r="AP39" i="1"/>
  <c r="X36" i="1"/>
  <c r="X93" i="1"/>
  <c r="X19" i="1"/>
  <c r="X23" i="1"/>
  <c r="X26" i="1"/>
  <c r="X30" i="1"/>
  <c r="X29" i="1"/>
  <c r="X58" i="1"/>
  <c r="X66" i="1"/>
  <c r="X74" i="1"/>
  <c r="X78" i="1"/>
  <c r="X82" i="1"/>
  <c r="X86" i="1"/>
  <c r="X50" i="1"/>
  <c r="X70" i="1"/>
  <c r="X45" i="1"/>
  <c r="X53" i="1"/>
  <c r="X61" i="1"/>
  <c r="X69" i="1"/>
  <c r="X77" i="1"/>
  <c r="X85" i="1"/>
  <c r="X27" i="1"/>
  <c r="X31" i="1"/>
  <c r="X44" i="1"/>
  <c r="X52" i="1"/>
  <c r="X60" i="1"/>
  <c r="X68" i="1"/>
  <c r="X73" i="1"/>
  <c r="X76" i="1"/>
  <c r="X81" i="1"/>
  <c r="X89" i="1"/>
  <c r="X21" i="1"/>
  <c r="X91" i="1"/>
  <c r="X95" i="1"/>
  <c r="X5" i="1"/>
  <c r="X9" i="1"/>
  <c r="X13" i="1"/>
  <c r="X17" i="1"/>
  <c r="X20" i="1"/>
  <c r="X25" i="1"/>
  <c r="X37" i="1"/>
  <c r="X94" i="1"/>
  <c r="X8" i="1"/>
  <c r="X24" i="1"/>
  <c r="X33" i="1"/>
  <c r="X62" i="1"/>
  <c r="X84" i="1"/>
  <c r="X40" i="1"/>
  <c r="X46" i="1"/>
  <c r="X80" i="1"/>
  <c r="X4" i="1"/>
  <c r="X11" i="1"/>
  <c r="X49" i="1"/>
  <c r="X92" i="1"/>
  <c r="X12" i="1"/>
  <c r="X16" i="1"/>
  <c r="X32" i="1"/>
  <c r="X41" i="1"/>
  <c r="X15" i="1"/>
  <c r="X48" i="1"/>
  <c r="X57" i="1"/>
  <c r="X54" i="1"/>
  <c r="X88" i="1"/>
  <c r="X3" i="1"/>
  <c r="X7" i="1"/>
  <c r="X2" i="1"/>
  <c r="X6" i="1"/>
  <c r="X10" i="1"/>
  <c r="X14" i="1"/>
  <c r="X22" i="1"/>
  <c r="X56" i="1"/>
  <c r="X65" i="1"/>
  <c r="AP18" i="1"/>
  <c r="AP26" i="1"/>
  <c r="AP34" i="1"/>
  <c r="AP20" i="1"/>
  <c r="AP28" i="1"/>
  <c r="AP36" i="1"/>
</calcChain>
</file>

<file path=xl/sharedStrings.xml><?xml version="1.0" encoding="utf-8"?>
<sst xmlns="http://schemas.openxmlformats.org/spreadsheetml/2006/main" count="155" uniqueCount="155">
  <si>
    <t>ID</t>
  </si>
  <si>
    <t>PjBL01</t>
  </si>
  <si>
    <t>PjBL02</t>
  </si>
  <si>
    <t>PjBL03</t>
  </si>
  <si>
    <t>PjBL04</t>
  </si>
  <si>
    <t>PjBL05</t>
  </si>
  <si>
    <t>TK_pre</t>
  </si>
  <si>
    <t>PK_pre</t>
  </si>
  <si>
    <t>CK_pre</t>
  </si>
  <si>
    <t>TPK_pre</t>
  </si>
  <si>
    <t>TCK_pre</t>
  </si>
  <si>
    <t>PCK_pre</t>
  </si>
  <si>
    <t>TPACK_pre</t>
  </si>
  <si>
    <t>S_pre</t>
  </si>
  <si>
    <t>T_pre</t>
  </si>
  <si>
    <t>E_pre</t>
  </si>
  <si>
    <t>M_pre</t>
  </si>
  <si>
    <t>ESD_PCK_pre</t>
  </si>
  <si>
    <t>ESD_INQ_pre</t>
  </si>
  <si>
    <t>ESD_EVA_pre</t>
  </si>
  <si>
    <t>TPACK_total_pre</t>
  </si>
  <si>
    <t>STEM_total_pre</t>
  </si>
  <si>
    <t>ESD_total_pre</t>
  </si>
  <si>
    <t>RPPInt_total_pre</t>
  </si>
  <si>
    <t>TK_post</t>
  </si>
  <si>
    <t>PK_post</t>
  </si>
  <si>
    <t>CK_post</t>
  </si>
  <si>
    <t>TPK_post</t>
  </si>
  <si>
    <t>TCK_post</t>
  </si>
  <si>
    <t>PCK_post</t>
  </si>
  <si>
    <t>TPACK_post</t>
  </si>
  <si>
    <t>S_post</t>
  </si>
  <si>
    <t>T_post</t>
  </si>
  <si>
    <t>E_post</t>
  </si>
  <si>
    <t>M_post</t>
  </si>
  <si>
    <t>ESD_PCK_post</t>
  </si>
  <si>
    <t>ESD_INQ_post</t>
  </si>
  <si>
    <t>ESD_EVA_post</t>
  </si>
  <si>
    <t>TPACK_total_post</t>
  </si>
  <si>
    <t>STEM_total_post</t>
  </si>
  <si>
    <t>ESD_total_post</t>
  </si>
  <si>
    <t>RPPInt_total_post</t>
  </si>
  <si>
    <t>Template Data Artikel PjBL–TPACK–STEM–ESD (Skor 1–4)</t>
  </si>
  <si>
    <t>Cara pakai:</t>
  </si>
  <si>
    <t>1) Isi sheet 'data' per responden (1 baris). Kolom skor menggunakan rentang 1–4.</t>
  </si>
  <si>
    <t>3) Kolom *_pre dan *_post = skor dimensi rubrik RPP sebelum &amp; sesudah.</t>
  </si>
  <si>
    <t>4) Kolom *_total_* sudah otomatis menghitung rata-rata (AVERAGE). Jangan diubah kecuali diperlukan.</t>
  </si>
  <si>
    <t>5) Untuk SEM-PLS gunakan kolom posttest + PjBL:</t>
  </si>
  <si>
    <t xml:space="preserve">   - TPACK (LOC): TK_post, PK_post, CK_post, TPK_post, TCK_post, PCK_post, TPACK_post</t>
  </si>
  <si>
    <t xml:space="preserve">   - STEM (LOC): S_post, T_post, E_post, M_post</t>
  </si>
  <si>
    <t xml:space="preserve">   - ESD (LOC): ESD_PCK_post, ESD_INQ_post, ESD_EVA_post</t>
  </si>
  <si>
    <t xml:space="preserve">   - HOC 'Kemampuan Integratif RPP' dibangun dari TPACK, STEM, ESD di Julius (orde kedua).</t>
  </si>
  <si>
    <t>6) Untuk Paired t-test &amp; N-Gain gunakan total pre vs post:</t>
  </si>
  <si>
    <t xml:space="preserve">   - TPACK_total_pre vs TPACK_total_post</t>
  </si>
  <si>
    <t xml:space="preserve">   - STEM_total_pre vs STEM_total_post</t>
  </si>
  <si>
    <t xml:space="preserve">   - ESD_total_pre vs ESD_total_post</t>
  </si>
  <si>
    <t xml:space="preserve">   - (opsional) RPPInt_total_pre vs RPPInt_total_post</t>
  </si>
  <si>
    <t>Catatan N-Gain: maksimum skor = 4 (karena skala 1–4).</t>
  </si>
  <si>
    <t>ID-1</t>
  </si>
  <si>
    <t>ID-2</t>
  </si>
  <si>
    <t>ID-3</t>
  </si>
  <si>
    <t>ID-4</t>
  </si>
  <si>
    <t>ID-5</t>
  </si>
  <si>
    <t>ID-6</t>
  </si>
  <si>
    <t>ID-7</t>
  </si>
  <si>
    <t>ID-8</t>
  </si>
  <si>
    <t>ID-9</t>
  </si>
  <si>
    <t>ID-10</t>
  </si>
  <si>
    <t>ID-11</t>
  </si>
  <si>
    <t>ID-12</t>
  </si>
  <si>
    <t>ID-13</t>
  </si>
  <si>
    <t>ID-14</t>
  </si>
  <si>
    <t>ID-15</t>
  </si>
  <si>
    <t>ID-16</t>
  </si>
  <si>
    <t>ID-17</t>
  </si>
  <si>
    <t>ID-18</t>
  </si>
  <si>
    <t>ID-19</t>
  </si>
  <si>
    <t>ID-20</t>
  </si>
  <si>
    <t>ID-21</t>
  </si>
  <si>
    <t>ID-22</t>
  </si>
  <si>
    <t>ID-23</t>
  </si>
  <si>
    <t>ID-24</t>
  </si>
  <si>
    <t>ID-25</t>
  </si>
  <si>
    <t>ID-26</t>
  </si>
  <si>
    <t>ID-27</t>
  </si>
  <si>
    <t>ID-28</t>
  </si>
  <si>
    <t>ID-29</t>
  </si>
  <si>
    <t>ID-30</t>
  </si>
  <si>
    <t>ID-31</t>
  </si>
  <si>
    <t>ID-32</t>
  </si>
  <si>
    <t>ID-33</t>
  </si>
  <si>
    <t>ID-34</t>
  </si>
  <si>
    <t>ID-35</t>
  </si>
  <si>
    <t>ID-36</t>
  </si>
  <si>
    <t>ID-37</t>
  </si>
  <si>
    <t>ID-38</t>
  </si>
  <si>
    <t>ID-39</t>
  </si>
  <si>
    <t>ID-40</t>
  </si>
  <si>
    <t>ID-41</t>
  </si>
  <si>
    <t>ID-42</t>
  </si>
  <si>
    <t>ID-43</t>
  </si>
  <si>
    <t>ID-44</t>
  </si>
  <si>
    <t>ID-45</t>
  </si>
  <si>
    <t>ID-46</t>
  </si>
  <si>
    <t>ID-47</t>
  </si>
  <si>
    <t>ID-48</t>
  </si>
  <si>
    <t>ID-49</t>
  </si>
  <si>
    <t>ID-50</t>
  </si>
  <si>
    <t>ID-51</t>
  </si>
  <si>
    <t>ID-52</t>
  </si>
  <si>
    <t>ID-53</t>
  </si>
  <si>
    <t>ID-54</t>
  </si>
  <si>
    <t>ID-55</t>
  </si>
  <si>
    <t>ID-56</t>
  </si>
  <si>
    <t>ID-57</t>
  </si>
  <si>
    <t>ID-58</t>
  </si>
  <si>
    <t>ID-59</t>
  </si>
  <si>
    <t>ID-60</t>
  </si>
  <si>
    <t>ID-61</t>
  </si>
  <si>
    <t>ID-62</t>
  </si>
  <si>
    <t>ID-63</t>
  </si>
  <si>
    <t>ID-64</t>
  </si>
  <si>
    <t>ID-65</t>
  </si>
  <si>
    <t>ID-66</t>
  </si>
  <si>
    <t>ID-67</t>
  </si>
  <si>
    <t>ID-68</t>
  </si>
  <si>
    <t>ID-69</t>
  </si>
  <si>
    <t>ID-70</t>
  </si>
  <si>
    <t>ID-71</t>
  </si>
  <si>
    <t>ID-72</t>
  </si>
  <si>
    <t>ID-73</t>
  </si>
  <si>
    <t>ID-74</t>
  </si>
  <si>
    <t>ID-75</t>
  </si>
  <si>
    <t>ID-76</t>
  </si>
  <si>
    <t>ID-77</t>
  </si>
  <si>
    <t>ID-78</t>
  </si>
  <si>
    <t>ID-79</t>
  </si>
  <si>
    <t>ID-80</t>
  </si>
  <si>
    <t>ID-81</t>
  </si>
  <si>
    <t>ID-82</t>
  </si>
  <si>
    <t>ID-83</t>
  </si>
  <si>
    <t>ID-84</t>
  </si>
  <si>
    <t>ID-85</t>
  </si>
  <si>
    <t>ID-86</t>
  </si>
  <si>
    <t>ID-87</t>
  </si>
  <si>
    <t>ID-88</t>
  </si>
  <si>
    <t>ID-89</t>
  </si>
  <si>
    <t>ID-90</t>
  </si>
  <si>
    <t>ID-91</t>
  </si>
  <si>
    <t>ID-92</t>
  </si>
  <si>
    <t>ID-93</t>
  </si>
  <si>
    <t>ID-94</t>
  </si>
  <si>
    <t>ID-95</t>
  </si>
  <si>
    <t>2) Kolom PjBL01–PjBL4 = skor observasi implementasi PjBL (eksogen SEM-PLS).</t>
  </si>
  <si>
    <t xml:space="preserve">   - PjBL: PjBL01–PjBL4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</si>
</sst>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name val="Calibri (Body)"/>
    </font>
    <font>
      <sz val="1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/>
    </xf>
    <xf numFmtId="2" fontId="5" fillId="4" borderId="2" xfId="0" applyNumberFormat="1" applyFont="1" applyFill="1" applyBorder="1" applyAlignment="1">
      <alignment horizontal="center"/>
    </xf>
    <xf numFmtId="2" fontId="5" fillId="4" borderId="2" xfId="0" applyNumberFormat="1" applyFont="1" applyFill="1" applyBorder="1"/>
    <xf numFmtId="2" fontId="5" fillId="3" borderId="2" xfId="0" applyNumberFormat="1" applyFont="1" applyFill="1" applyBorder="1" applyAlignment="1">
      <alignment horizontal="center"/>
    </xf>
    <xf numFmtId="2" fontId="5" fillId="3" borderId="3" xfId="0" applyNumberFormat="1" applyFont="1" applyFill="1" applyBorder="1" applyAlignment="1">
      <alignment horizontal="center"/>
    </xf>
    <xf numFmtId="2" fontId="5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workbookViewId="0">
      <pane ySplit="1" topLeftCell="A2" activePane="bottomLeft" state="frozen"/>
      <selection pane="bottomLeft" activeCell="E8" sqref="E8"/>
    </sheetView>
  </sheetViews>
  <sheetFormatPr baseColWidth="10" defaultColWidth="8.83203125" defaultRowHeight="15" x14ac:dyDescent="0.2"/>
  <cols>
    <col min="1" max="1" width="10" style="5" customWidth="1"/>
    <col min="2" max="42" width="12" style="5" customWidth="1"/>
    <col min="43" max="16384" width="8.83203125" style="5"/>
  </cols>
  <sheetData>
    <row r="1" spans="1:42" ht="28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 ht="16" x14ac:dyDescent="0.2">
      <c r="A2" s="6" t="s">
        <v>58</v>
      </c>
      <c r="B2" s="5">
        <v>4</v>
      </c>
      <c r="C2" s="5">
        <v>3</v>
      </c>
      <c r="D2" s="5">
        <v>3</v>
      </c>
      <c r="E2" s="5">
        <v>4</v>
      </c>
      <c r="F2" s="5">
        <v>4</v>
      </c>
      <c r="G2" s="7">
        <v>2.1190476190476191</v>
      </c>
      <c r="H2" s="7">
        <v>2.9761904761904763</v>
      </c>
      <c r="I2" s="7">
        <v>3.0238095238095237</v>
      </c>
      <c r="J2" s="7">
        <v>2.3095238095238093</v>
      </c>
      <c r="K2" s="7">
        <v>2.2619047619047619</v>
      </c>
      <c r="L2" s="7">
        <v>3.0952380952380953</v>
      </c>
      <c r="M2" s="7">
        <v>2.2619047619047619</v>
      </c>
      <c r="N2" s="7">
        <v>3.1666666666666665</v>
      </c>
      <c r="O2" s="7">
        <v>2.3333333333333335</v>
      </c>
      <c r="P2" s="7">
        <v>2.7380952380952381</v>
      </c>
      <c r="Q2" s="7">
        <v>2</v>
      </c>
      <c r="R2" s="7">
        <v>1.5909090909090908</v>
      </c>
      <c r="S2" s="7">
        <v>1.7692307692307692</v>
      </c>
      <c r="T2" s="7">
        <v>1.4</v>
      </c>
      <c r="U2" s="8">
        <f t="shared" ref="U2:U33" si="0">IF(COUNTA(G2:M2)=0,"",AVERAGE(G2:M2))</f>
        <v>2.5782312925170068</v>
      </c>
      <c r="V2" s="8">
        <f t="shared" ref="V2:V33" si="1">IF(COUNTA(N2:Q2)=0,"",AVERAGE(N2:Q2))</f>
        <v>2.5595238095238093</v>
      </c>
      <c r="W2" s="8">
        <f t="shared" ref="W2:W33" si="2">IF(COUNTA(R2:T2)=0,"",AVERAGE(R2:T2))</f>
        <v>1.5867132867132867</v>
      </c>
      <c r="X2" s="8">
        <f t="shared" ref="X2:X33" si="3">IF(COUNTA(U2,V2,W2)=0,"",AVERAGE(U2,V2,W2))</f>
        <v>2.2414894629180342</v>
      </c>
      <c r="Y2" s="9">
        <v>3.5</v>
      </c>
      <c r="Z2" s="7">
        <v>3.5</v>
      </c>
      <c r="AA2" s="7">
        <v>3.5</v>
      </c>
      <c r="AB2" s="7">
        <v>3.5</v>
      </c>
      <c r="AC2" s="7">
        <v>3.5</v>
      </c>
      <c r="AD2" s="7">
        <v>3.5</v>
      </c>
      <c r="AE2" s="7">
        <v>3.5</v>
      </c>
      <c r="AF2" s="10">
        <v>3.5</v>
      </c>
      <c r="AG2" s="10">
        <v>3.5</v>
      </c>
      <c r="AH2" s="10">
        <v>3.5</v>
      </c>
      <c r="AI2" s="10">
        <v>3.5</v>
      </c>
      <c r="AJ2" s="11">
        <v>2.7272727272727271</v>
      </c>
      <c r="AK2" s="11">
        <v>3</v>
      </c>
      <c r="AL2" s="11">
        <v>3</v>
      </c>
      <c r="AM2" s="8">
        <f t="shared" ref="AM2:AM33" si="4">IF(COUNTA(Y2:AE2)=0,"",AVERAGE(Y2:AE2))</f>
        <v>3.5</v>
      </c>
      <c r="AN2" s="8">
        <f t="shared" ref="AN2:AN33" si="5">IF(COUNTA(AF2:AI2)=0,"",AVERAGE(AF2:AI2))</f>
        <v>3.5</v>
      </c>
      <c r="AO2" s="8">
        <f t="shared" ref="AO2:AO33" si="6">IF(COUNTA(AJ2:AL2)=0,"",AVERAGE(AJ2:AL2))</f>
        <v>2.9090909090909087</v>
      </c>
      <c r="AP2" s="8">
        <f t="shared" ref="AP2:AP33" si="7">IF(COUNTA(AM2,AN2,AO2)=0,"",AVERAGE(AM2,AN2,AO2))</f>
        <v>3.3030303030303028</v>
      </c>
    </row>
    <row r="3" spans="1:42" ht="16" x14ac:dyDescent="0.2">
      <c r="A3" s="6" t="s">
        <v>59</v>
      </c>
      <c r="B3" s="5">
        <v>3</v>
      </c>
      <c r="C3" s="5">
        <v>3</v>
      </c>
      <c r="D3" s="5">
        <v>3</v>
      </c>
      <c r="E3" s="5">
        <v>4</v>
      </c>
      <c r="F3" s="5">
        <v>4</v>
      </c>
      <c r="G3" s="7">
        <v>2.6666666666666665</v>
      </c>
      <c r="H3" s="7">
        <v>3.3333333333333335</v>
      </c>
      <c r="I3" s="7">
        <v>3.3333333333333335</v>
      </c>
      <c r="J3" s="7">
        <v>3</v>
      </c>
      <c r="K3" s="7">
        <v>3</v>
      </c>
      <c r="L3" s="7">
        <v>3.3333333333333335</v>
      </c>
      <c r="M3" s="7">
        <v>3.3333333333333335</v>
      </c>
      <c r="N3" s="7">
        <v>2.6666666666666665</v>
      </c>
      <c r="O3" s="7">
        <v>2.3333333333333335</v>
      </c>
      <c r="P3" s="7">
        <v>2.6666666666666665</v>
      </c>
      <c r="Q3" s="7">
        <v>2.3333333333333335</v>
      </c>
      <c r="R3" s="7">
        <v>2.1363636363636362</v>
      </c>
      <c r="S3" s="7">
        <v>2.3076923076923075</v>
      </c>
      <c r="T3" s="7">
        <v>1.8</v>
      </c>
      <c r="U3" s="8">
        <f t="shared" si="0"/>
        <v>3.1428571428571428</v>
      </c>
      <c r="V3" s="8">
        <f t="shared" si="1"/>
        <v>2.5</v>
      </c>
      <c r="W3" s="8">
        <f t="shared" si="2"/>
        <v>2.0813519813519812</v>
      </c>
      <c r="X3" s="8">
        <f t="shared" si="3"/>
        <v>2.5747363747363745</v>
      </c>
      <c r="Y3" s="9">
        <v>3.6666666666666665</v>
      </c>
      <c r="Z3" s="7">
        <v>4</v>
      </c>
      <c r="AA3" s="7">
        <v>3.8333333333333335</v>
      </c>
      <c r="AB3" s="7">
        <v>3.5</v>
      </c>
      <c r="AC3" s="7">
        <v>3.8333333333333335</v>
      </c>
      <c r="AD3" s="7">
        <v>3.8333333333333335</v>
      </c>
      <c r="AE3" s="7">
        <v>3.8333333333333335</v>
      </c>
      <c r="AF3" s="10">
        <v>3.5</v>
      </c>
      <c r="AG3" s="10">
        <v>3.8333333333333335</v>
      </c>
      <c r="AH3" s="10">
        <v>3.1666666666666665</v>
      </c>
      <c r="AI3" s="10">
        <v>3.1666666666666665</v>
      </c>
      <c r="AJ3" s="11">
        <v>3</v>
      </c>
      <c r="AK3" s="11">
        <v>3</v>
      </c>
      <c r="AL3" s="11">
        <v>3</v>
      </c>
      <c r="AM3" s="8">
        <f t="shared" si="4"/>
        <v>3.7857142857142851</v>
      </c>
      <c r="AN3" s="8">
        <f t="shared" si="5"/>
        <v>3.4166666666666665</v>
      </c>
      <c r="AO3" s="8">
        <f t="shared" si="6"/>
        <v>3</v>
      </c>
      <c r="AP3" s="8">
        <f t="shared" si="7"/>
        <v>3.4007936507936507</v>
      </c>
    </row>
    <row r="4" spans="1:42" ht="16" x14ac:dyDescent="0.2">
      <c r="A4" s="6" t="s">
        <v>60</v>
      </c>
      <c r="B4" s="5">
        <v>4</v>
      </c>
      <c r="C4" s="5">
        <v>3</v>
      </c>
      <c r="D4" s="5">
        <v>3</v>
      </c>
      <c r="E4" s="5">
        <v>4</v>
      </c>
      <c r="F4" s="5">
        <v>4</v>
      </c>
      <c r="G4" s="7">
        <v>2</v>
      </c>
      <c r="H4" s="12">
        <v>2.98</v>
      </c>
      <c r="I4" s="7">
        <v>2.6666666666666665</v>
      </c>
      <c r="J4" s="7">
        <v>2.3333333333333335</v>
      </c>
      <c r="K4" s="7">
        <v>3</v>
      </c>
      <c r="L4" s="7">
        <v>3.6666666666666665</v>
      </c>
      <c r="M4" s="7">
        <v>3</v>
      </c>
      <c r="N4" s="7">
        <v>2.3333333333333335</v>
      </c>
      <c r="O4" s="7">
        <v>3</v>
      </c>
      <c r="P4" s="7">
        <v>2.6666666666666665</v>
      </c>
      <c r="Q4" s="7">
        <v>2.3333333333333335</v>
      </c>
      <c r="R4" s="7">
        <v>2.4090909090909092</v>
      </c>
      <c r="S4" s="7">
        <v>2</v>
      </c>
      <c r="T4" s="7">
        <v>2.4</v>
      </c>
      <c r="U4" s="8">
        <f t="shared" si="0"/>
        <v>2.8066666666666671</v>
      </c>
      <c r="V4" s="8">
        <f t="shared" si="1"/>
        <v>2.5833333333333335</v>
      </c>
      <c r="W4" s="8">
        <f t="shared" si="2"/>
        <v>2.2696969696969695</v>
      </c>
      <c r="X4" s="8">
        <f t="shared" si="3"/>
        <v>2.5532323232323235</v>
      </c>
      <c r="Y4" s="9">
        <v>3</v>
      </c>
      <c r="Z4" s="12">
        <v>3.83</v>
      </c>
      <c r="AA4" s="7">
        <v>4</v>
      </c>
      <c r="AB4" s="7">
        <v>3</v>
      </c>
      <c r="AC4" s="7">
        <v>3</v>
      </c>
      <c r="AD4" s="7">
        <v>4</v>
      </c>
      <c r="AE4" s="7">
        <v>3</v>
      </c>
      <c r="AF4" s="10">
        <v>4</v>
      </c>
      <c r="AG4" s="10">
        <v>4</v>
      </c>
      <c r="AH4" s="10">
        <v>4</v>
      </c>
      <c r="AI4" s="10">
        <v>4</v>
      </c>
      <c r="AJ4" s="11">
        <v>2.9090909090909092</v>
      </c>
      <c r="AK4" s="11">
        <v>3</v>
      </c>
      <c r="AL4" s="11">
        <v>3</v>
      </c>
      <c r="AM4" s="8">
        <f t="shared" si="4"/>
        <v>3.4042857142857139</v>
      </c>
      <c r="AN4" s="8">
        <f t="shared" si="5"/>
        <v>4</v>
      </c>
      <c r="AO4" s="8">
        <f t="shared" si="6"/>
        <v>2.9696969696969702</v>
      </c>
      <c r="AP4" s="8">
        <f t="shared" si="7"/>
        <v>3.4579942279942277</v>
      </c>
    </row>
    <row r="5" spans="1:42" ht="16" x14ac:dyDescent="0.2">
      <c r="A5" s="6" t="s">
        <v>61</v>
      </c>
      <c r="B5" s="5">
        <v>4</v>
      </c>
      <c r="C5" s="5">
        <v>4</v>
      </c>
      <c r="D5" s="5">
        <v>4</v>
      </c>
      <c r="E5" s="5">
        <v>4</v>
      </c>
      <c r="F5" s="5">
        <v>4</v>
      </c>
      <c r="G5" s="7">
        <v>1.3333333333333333</v>
      </c>
      <c r="H5" s="7">
        <v>3</v>
      </c>
      <c r="I5" s="7">
        <v>2.6666666666666665</v>
      </c>
      <c r="J5" s="7">
        <v>1.6666666666666667</v>
      </c>
      <c r="K5" s="7">
        <v>1.3333333333333333</v>
      </c>
      <c r="L5" s="7">
        <v>3</v>
      </c>
      <c r="M5" s="7">
        <v>1.3333333333333333</v>
      </c>
      <c r="N5" s="7">
        <v>3</v>
      </c>
      <c r="O5" s="7">
        <v>2</v>
      </c>
      <c r="P5" s="7">
        <v>2.6666666666666665</v>
      </c>
      <c r="Q5" s="7">
        <v>2</v>
      </c>
      <c r="R5" s="7">
        <v>2</v>
      </c>
      <c r="S5" s="7">
        <v>1.8461538461538463</v>
      </c>
      <c r="T5" s="7">
        <v>1.8</v>
      </c>
      <c r="U5" s="8">
        <f t="shared" si="0"/>
        <v>2.0476190476190479</v>
      </c>
      <c r="V5" s="8">
        <f t="shared" si="1"/>
        <v>2.4166666666666665</v>
      </c>
      <c r="W5" s="8">
        <f t="shared" si="2"/>
        <v>1.8820512820512822</v>
      </c>
      <c r="X5" s="8">
        <f t="shared" si="3"/>
        <v>2.1154456654456655</v>
      </c>
      <c r="Y5" s="9">
        <v>4</v>
      </c>
      <c r="Z5" s="7">
        <v>3.3333333333333335</v>
      </c>
      <c r="AA5" s="7">
        <v>3.6666666666666665</v>
      </c>
      <c r="AB5" s="7">
        <v>3.6666666666666665</v>
      </c>
      <c r="AC5" s="7">
        <v>3.3333333333333335</v>
      </c>
      <c r="AD5" s="7">
        <v>4</v>
      </c>
      <c r="AE5" s="7">
        <v>3.3333333333333335</v>
      </c>
      <c r="AF5" s="10">
        <v>3.6666666666666665</v>
      </c>
      <c r="AG5" s="10">
        <v>3.6666666666666665</v>
      </c>
      <c r="AH5" s="10">
        <v>3.6666666666666665</v>
      </c>
      <c r="AI5" s="10">
        <v>3</v>
      </c>
      <c r="AJ5" s="11">
        <v>2.91</v>
      </c>
      <c r="AK5" s="11">
        <v>3</v>
      </c>
      <c r="AL5" s="11">
        <v>3</v>
      </c>
      <c r="AM5" s="8">
        <f t="shared" si="4"/>
        <v>3.6190476190476191</v>
      </c>
      <c r="AN5" s="8">
        <f t="shared" si="5"/>
        <v>3.5</v>
      </c>
      <c r="AO5" s="8">
        <f t="shared" si="6"/>
        <v>2.97</v>
      </c>
      <c r="AP5" s="8">
        <f t="shared" si="7"/>
        <v>3.3630158730158732</v>
      </c>
    </row>
    <row r="6" spans="1:42" ht="16" x14ac:dyDescent="0.2">
      <c r="A6" s="6" t="s">
        <v>62</v>
      </c>
      <c r="B6" s="5">
        <v>4</v>
      </c>
      <c r="C6" s="5">
        <v>3</v>
      </c>
      <c r="D6" s="5">
        <v>3</v>
      </c>
      <c r="E6" s="5">
        <v>4</v>
      </c>
      <c r="F6" s="5">
        <v>4</v>
      </c>
      <c r="G6" s="7">
        <v>2.3333333333333335</v>
      </c>
      <c r="H6" s="7">
        <v>3</v>
      </c>
      <c r="I6" s="12">
        <v>2.33</v>
      </c>
      <c r="J6" s="7">
        <v>2.3333333333333335</v>
      </c>
      <c r="K6" s="7">
        <v>2.3333333333333335</v>
      </c>
      <c r="L6" s="12">
        <v>2</v>
      </c>
      <c r="M6" s="12">
        <v>2.6666666666666665</v>
      </c>
      <c r="N6" s="12">
        <v>2.33</v>
      </c>
      <c r="O6" s="12">
        <v>2.75</v>
      </c>
      <c r="P6" s="12">
        <v>2</v>
      </c>
      <c r="Q6" s="12">
        <v>2</v>
      </c>
      <c r="R6" s="7">
        <v>2.5454545454545454</v>
      </c>
      <c r="S6" s="7">
        <v>2.6153846153846154</v>
      </c>
      <c r="T6" s="7">
        <v>2.8</v>
      </c>
      <c r="U6" s="8">
        <f t="shared" si="0"/>
        <v>2.4280952380952385</v>
      </c>
      <c r="V6" s="8">
        <f t="shared" si="1"/>
        <v>2.27</v>
      </c>
      <c r="W6" s="8">
        <f t="shared" si="2"/>
        <v>2.6536130536130536</v>
      </c>
      <c r="X6" s="8">
        <f t="shared" si="3"/>
        <v>2.4505694305694306</v>
      </c>
      <c r="Y6" s="9">
        <v>3</v>
      </c>
      <c r="Z6" s="7">
        <v>3</v>
      </c>
      <c r="AA6" s="12">
        <v>3.67</v>
      </c>
      <c r="AB6" s="7">
        <v>3</v>
      </c>
      <c r="AC6" s="7">
        <v>2.75</v>
      </c>
      <c r="AD6" s="12">
        <v>3.75</v>
      </c>
      <c r="AE6" s="12">
        <v>3.95</v>
      </c>
      <c r="AF6" s="12">
        <v>3.25</v>
      </c>
      <c r="AG6" s="12">
        <v>3.95</v>
      </c>
      <c r="AH6" s="12">
        <v>3.5</v>
      </c>
      <c r="AI6" s="12">
        <v>3.33</v>
      </c>
      <c r="AJ6" s="11">
        <v>3</v>
      </c>
      <c r="AK6" s="11">
        <v>3</v>
      </c>
      <c r="AL6" s="11">
        <v>3</v>
      </c>
      <c r="AM6" s="8">
        <f t="shared" si="4"/>
        <v>3.3028571428571429</v>
      </c>
      <c r="AN6" s="8">
        <f t="shared" si="5"/>
        <v>3.5074999999999998</v>
      </c>
      <c r="AO6" s="8">
        <f t="shared" si="6"/>
        <v>3</v>
      </c>
      <c r="AP6" s="8">
        <f t="shared" si="7"/>
        <v>3.2701190476190476</v>
      </c>
    </row>
    <row r="7" spans="1:42" ht="16" x14ac:dyDescent="0.2">
      <c r="A7" s="6" t="s">
        <v>63</v>
      </c>
      <c r="B7" s="5">
        <v>4</v>
      </c>
      <c r="C7" s="5">
        <v>3</v>
      </c>
      <c r="D7" s="5">
        <v>3</v>
      </c>
      <c r="E7" s="5">
        <v>4</v>
      </c>
      <c r="F7" s="5">
        <v>4</v>
      </c>
      <c r="G7" s="12">
        <v>2.6666666666666665</v>
      </c>
      <c r="H7" s="12">
        <v>3</v>
      </c>
      <c r="I7" s="12">
        <v>3</v>
      </c>
      <c r="J7" s="12">
        <v>1.33</v>
      </c>
      <c r="K7" s="7">
        <v>2.3333333333333335</v>
      </c>
      <c r="L7" s="12">
        <v>1.33</v>
      </c>
      <c r="M7" s="12">
        <v>2</v>
      </c>
      <c r="N7" s="12">
        <v>2.33</v>
      </c>
      <c r="O7" s="7">
        <v>3</v>
      </c>
      <c r="P7" s="7">
        <v>2.6666666666666665</v>
      </c>
      <c r="Q7" s="7">
        <v>1.6666666666666667</v>
      </c>
      <c r="R7" s="7">
        <v>2.3636363636363638</v>
      </c>
      <c r="S7" s="7">
        <v>2.6923076923076925</v>
      </c>
      <c r="T7" s="7">
        <v>2.2000000000000002</v>
      </c>
      <c r="U7" s="8">
        <f t="shared" si="0"/>
        <v>2.2371428571428571</v>
      </c>
      <c r="V7" s="8">
        <f t="shared" si="1"/>
        <v>2.4158333333333331</v>
      </c>
      <c r="W7" s="8">
        <f t="shared" si="2"/>
        <v>2.4186480186480188</v>
      </c>
      <c r="X7" s="8">
        <f t="shared" si="3"/>
        <v>2.35720806970807</v>
      </c>
      <c r="Y7" s="13">
        <v>3.5</v>
      </c>
      <c r="Z7" s="12">
        <v>3.5</v>
      </c>
      <c r="AA7" s="12">
        <v>3.67</v>
      </c>
      <c r="AB7" s="12">
        <v>3.75</v>
      </c>
      <c r="AC7" s="7">
        <v>3</v>
      </c>
      <c r="AD7" s="12">
        <v>3.25</v>
      </c>
      <c r="AE7" s="12">
        <v>3.75</v>
      </c>
      <c r="AF7" s="12">
        <v>3.67</v>
      </c>
      <c r="AG7" s="10">
        <v>3</v>
      </c>
      <c r="AH7" s="10">
        <v>3.25</v>
      </c>
      <c r="AI7" s="10">
        <v>2.75</v>
      </c>
      <c r="AJ7" s="11">
        <v>3</v>
      </c>
      <c r="AK7" s="11">
        <v>3</v>
      </c>
      <c r="AL7" s="11">
        <v>3</v>
      </c>
      <c r="AM7" s="8">
        <f t="shared" si="4"/>
        <v>3.4885714285714289</v>
      </c>
      <c r="AN7" s="8">
        <f t="shared" si="5"/>
        <v>3.1675</v>
      </c>
      <c r="AO7" s="8">
        <f t="shared" si="6"/>
        <v>3</v>
      </c>
      <c r="AP7" s="8">
        <f t="shared" si="7"/>
        <v>3.2186904761904764</v>
      </c>
    </row>
    <row r="8" spans="1:42" ht="16" x14ac:dyDescent="0.2">
      <c r="A8" s="6" t="s">
        <v>64</v>
      </c>
      <c r="B8" s="5">
        <v>4</v>
      </c>
      <c r="C8" s="5">
        <v>3</v>
      </c>
      <c r="D8" s="5">
        <v>4</v>
      </c>
      <c r="E8" s="5">
        <v>4</v>
      </c>
      <c r="F8" s="5">
        <v>4</v>
      </c>
      <c r="G8" s="7">
        <v>2.3333333333333335</v>
      </c>
      <c r="H8" s="7">
        <v>3</v>
      </c>
      <c r="I8" s="12">
        <v>2</v>
      </c>
      <c r="J8" s="7">
        <v>2.6666666666666665</v>
      </c>
      <c r="K8" s="7">
        <v>3</v>
      </c>
      <c r="L8" s="7">
        <v>3.6666666666666665</v>
      </c>
      <c r="M8" s="7">
        <v>2.6666666666666665</v>
      </c>
      <c r="N8" s="7">
        <v>2.6666666666666665</v>
      </c>
      <c r="O8" s="7">
        <v>3</v>
      </c>
      <c r="P8" s="7">
        <v>2.6666666666666665</v>
      </c>
      <c r="Q8" s="7">
        <v>1.6666666666666667</v>
      </c>
      <c r="R8" s="7">
        <v>1.9545454545454546</v>
      </c>
      <c r="S8" s="7">
        <v>2.2307692307692308</v>
      </c>
      <c r="T8" s="7">
        <v>1.8</v>
      </c>
      <c r="U8" s="8">
        <f t="shared" si="0"/>
        <v>2.7619047619047623</v>
      </c>
      <c r="V8" s="8">
        <f t="shared" si="1"/>
        <v>2.4999999999999996</v>
      </c>
      <c r="W8" s="8">
        <f t="shared" si="2"/>
        <v>1.9951048951048949</v>
      </c>
      <c r="X8" s="8">
        <f t="shared" si="3"/>
        <v>2.4190032190032187</v>
      </c>
      <c r="Y8" s="9">
        <v>4</v>
      </c>
      <c r="Z8" s="7">
        <v>4</v>
      </c>
      <c r="AA8" s="12">
        <v>3.3333333333333335</v>
      </c>
      <c r="AB8" s="7">
        <v>3.3333333333333335</v>
      </c>
      <c r="AC8" s="7">
        <v>3.6666666666666665</v>
      </c>
      <c r="AD8" s="7">
        <v>4</v>
      </c>
      <c r="AE8" s="7">
        <v>3</v>
      </c>
      <c r="AF8" s="10">
        <v>3.6666666666666665</v>
      </c>
      <c r="AG8" s="10">
        <v>4</v>
      </c>
      <c r="AH8" s="10">
        <v>3.6666666666666665</v>
      </c>
      <c r="AI8" s="10">
        <v>4</v>
      </c>
      <c r="AJ8" s="11">
        <v>2.9545454545454546</v>
      </c>
      <c r="AK8" s="11">
        <v>3</v>
      </c>
      <c r="AL8" s="11">
        <v>3</v>
      </c>
      <c r="AM8" s="8">
        <f t="shared" si="4"/>
        <v>3.6190476190476195</v>
      </c>
      <c r="AN8" s="8">
        <f t="shared" si="5"/>
        <v>3.833333333333333</v>
      </c>
      <c r="AO8" s="8">
        <f t="shared" si="6"/>
        <v>2.9848484848484849</v>
      </c>
      <c r="AP8" s="8">
        <f t="shared" si="7"/>
        <v>3.479076479076479</v>
      </c>
    </row>
    <row r="9" spans="1:42" ht="16" x14ac:dyDescent="0.2">
      <c r="A9" s="6" t="s">
        <v>65</v>
      </c>
      <c r="B9" s="5">
        <v>4</v>
      </c>
      <c r="C9" s="5">
        <v>3</v>
      </c>
      <c r="D9" s="5">
        <v>3</v>
      </c>
      <c r="E9" s="5">
        <v>4</v>
      </c>
      <c r="F9" s="5">
        <v>4</v>
      </c>
      <c r="G9" s="7">
        <v>2</v>
      </c>
      <c r="H9" s="7">
        <v>3</v>
      </c>
      <c r="I9" s="7">
        <v>2.3333333333333335</v>
      </c>
      <c r="J9" s="7">
        <v>2.3333333333333335</v>
      </c>
      <c r="K9" s="12">
        <v>1.33</v>
      </c>
      <c r="L9" s="7">
        <v>3.3333333333333335</v>
      </c>
      <c r="M9" s="7">
        <v>2</v>
      </c>
      <c r="N9" s="7">
        <v>2</v>
      </c>
      <c r="O9" s="7">
        <v>2</v>
      </c>
      <c r="P9" s="7">
        <v>2.6666666666666665</v>
      </c>
      <c r="Q9" s="7">
        <v>1</v>
      </c>
      <c r="R9" s="7">
        <v>1.7272727272727273</v>
      </c>
      <c r="S9" s="7">
        <v>1.9230769230769231</v>
      </c>
      <c r="T9" s="7">
        <v>2.8</v>
      </c>
      <c r="U9" s="8">
        <f t="shared" si="0"/>
        <v>2.3328571428571432</v>
      </c>
      <c r="V9" s="8">
        <f t="shared" si="1"/>
        <v>1.9166666666666665</v>
      </c>
      <c r="W9" s="8">
        <f t="shared" si="2"/>
        <v>2.1501165501165502</v>
      </c>
      <c r="X9" s="8">
        <f t="shared" si="3"/>
        <v>2.1332134532134535</v>
      </c>
      <c r="Y9" s="9">
        <v>2.25</v>
      </c>
      <c r="Z9" s="7">
        <v>4</v>
      </c>
      <c r="AA9" s="7">
        <v>3</v>
      </c>
      <c r="AB9" s="7">
        <v>2.75</v>
      </c>
      <c r="AC9" s="12">
        <v>3.25</v>
      </c>
      <c r="AD9" s="7">
        <v>4</v>
      </c>
      <c r="AE9" s="7">
        <v>2.5</v>
      </c>
      <c r="AF9" s="10">
        <v>3</v>
      </c>
      <c r="AG9" s="10">
        <v>3.25</v>
      </c>
      <c r="AH9" s="10">
        <v>2.75</v>
      </c>
      <c r="AI9" s="10">
        <v>2.25</v>
      </c>
      <c r="AJ9" s="11">
        <v>3</v>
      </c>
      <c r="AK9" s="11">
        <v>3</v>
      </c>
      <c r="AL9" s="11">
        <v>3</v>
      </c>
      <c r="AM9" s="8">
        <f t="shared" si="4"/>
        <v>3.1071428571428572</v>
      </c>
      <c r="AN9" s="8">
        <f t="shared" si="5"/>
        <v>2.8125</v>
      </c>
      <c r="AO9" s="8">
        <f t="shared" si="6"/>
        <v>3</v>
      </c>
      <c r="AP9" s="8">
        <f t="shared" si="7"/>
        <v>2.973214285714286</v>
      </c>
    </row>
    <row r="10" spans="1:42" ht="16" x14ac:dyDescent="0.2">
      <c r="A10" s="6" t="s">
        <v>66</v>
      </c>
      <c r="B10" s="5">
        <v>4</v>
      </c>
      <c r="C10" s="5">
        <v>4</v>
      </c>
      <c r="D10" s="5">
        <v>4</v>
      </c>
      <c r="E10" s="5">
        <v>4</v>
      </c>
      <c r="F10" s="5">
        <v>4</v>
      </c>
      <c r="G10" s="7">
        <v>1.3333333333333333</v>
      </c>
      <c r="H10" s="7">
        <v>3.3333333333333335</v>
      </c>
      <c r="I10" s="7">
        <v>3.3333333333333335</v>
      </c>
      <c r="J10" s="7">
        <v>1.6666666666666667</v>
      </c>
      <c r="K10" s="7">
        <v>1.3333333333333333</v>
      </c>
      <c r="L10" s="7">
        <v>3</v>
      </c>
      <c r="M10" s="7">
        <v>1.3333333333333333</v>
      </c>
      <c r="N10" s="7">
        <v>2.6666666666666665</v>
      </c>
      <c r="O10" s="7">
        <v>1.3333333333333333</v>
      </c>
      <c r="P10" s="7">
        <v>2.3333333333333335</v>
      </c>
      <c r="Q10" s="7">
        <v>2</v>
      </c>
      <c r="R10" s="7">
        <v>1.2272727272727273</v>
      </c>
      <c r="S10" s="7">
        <v>1.6153846153846154</v>
      </c>
      <c r="T10" s="7">
        <v>1.8</v>
      </c>
      <c r="U10" s="8">
        <f t="shared" si="0"/>
        <v>2.1904761904761907</v>
      </c>
      <c r="V10" s="8">
        <f t="shared" si="1"/>
        <v>2.0833333333333335</v>
      </c>
      <c r="W10" s="8">
        <f t="shared" si="2"/>
        <v>1.5475524475524474</v>
      </c>
      <c r="X10" s="8">
        <f t="shared" si="3"/>
        <v>1.9404539904539904</v>
      </c>
      <c r="Y10" s="9">
        <v>3.3333333333333335</v>
      </c>
      <c r="Z10" s="7">
        <v>3.6666666666666665</v>
      </c>
      <c r="AA10" s="7">
        <v>3.3333333333333335</v>
      </c>
      <c r="AB10" s="7">
        <v>3.6666666666666665</v>
      </c>
      <c r="AC10" s="7">
        <v>3.6666666666666665</v>
      </c>
      <c r="AD10" s="7">
        <v>3.3333333333333335</v>
      </c>
      <c r="AE10" s="7">
        <v>3</v>
      </c>
      <c r="AF10" s="10">
        <v>3.3333333333333335</v>
      </c>
      <c r="AG10" s="10">
        <v>3</v>
      </c>
      <c r="AH10" s="10">
        <v>3</v>
      </c>
      <c r="AI10" s="10">
        <v>3.3333333333333335</v>
      </c>
      <c r="AJ10" s="11">
        <v>2.8636363636363638</v>
      </c>
      <c r="AK10" s="11">
        <v>3</v>
      </c>
      <c r="AL10" s="11">
        <v>3</v>
      </c>
      <c r="AM10" s="8">
        <f t="shared" si="4"/>
        <v>3.4285714285714284</v>
      </c>
      <c r="AN10" s="8">
        <f t="shared" si="5"/>
        <v>3.166666666666667</v>
      </c>
      <c r="AO10" s="8">
        <f t="shared" si="6"/>
        <v>2.9545454545454546</v>
      </c>
      <c r="AP10" s="8">
        <f t="shared" si="7"/>
        <v>3.1832611832611835</v>
      </c>
    </row>
    <row r="11" spans="1:42" ht="16" x14ac:dyDescent="0.2">
      <c r="A11" s="6" t="s">
        <v>67</v>
      </c>
      <c r="B11" s="5">
        <v>4</v>
      </c>
      <c r="C11" s="5">
        <v>3</v>
      </c>
      <c r="D11" s="5">
        <v>4</v>
      </c>
      <c r="E11" s="5">
        <v>4</v>
      </c>
      <c r="F11" s="5">
        <v>4</v>
      </c>
      <c r="G11" s="7">
        <v>2</v>
      </c>
      <c r="H11" s="12">
        <v>2</v>
      </c>
      <c r="I11" s="7">
        <v>3.3333333333333335</v>
      </c>
      <c r="J11" s="7">
        <v>1.6666666666666667</v>
      </c>
      <c r="K11" s="7">
        <v>2</v>
      </c>
      <c r="L11" s="7">
        <v>3.3333333333333335</v>
      </c>
      <c r="M11" s="7">
        <v>1.6666666666666667</v>
      </c>
      <c r="N11" s="7">
        <v>3.6666666666666665</v>
      </c>
      <c r="O11" s="7">
        <v>2</v>
      </c>
      <c r="P11" s="7">
        <v>2.3333333333333335</v>
      </c>
      <c r="Q11" s="7">
        <v>2.3333333333333335</v>
      </c>
      <c r="R11" s="7">
        <v>1.8636363636363635</v>
      </c>
      <c r="S11" s="7">
        <v>2</v>
      </c>
      <c r="T11" s="7">
        <v>1.8</v>
      </c>
      <c r="U11" s="8">
        <f t="shared" si="0"/>
        <v>2.2857142857142856</v>
      </c>
      <c r="V11" s="8">
        <f t="shared" si="1"/>
        <v>2.5833333333333335</v>
      </c>
      <c r="W11" s="8">
        <f t="shared" si="2"/>
        <v>1.8878787878787877</v>
      </c>
      <c r="X11" s="8">
        <f t="shared" si="3"/>
        <v>2.2523088023088023</v>
      </c>
      <c r="Y11" s="9">
        <v>3.25</v>
      </c>
      <c r="Z11" s="12">
        <v>3.5</v>
      </c>
      <c r="AA11" s="7">
        <v>4</v>
      </c>
      <c r="AB11" s="7">
        <v>3.25</v>
      </c>
      <c r="AC11" s="7">
        <v>3.25</v>
      </c>
      <c r="AD11" s="7">
        <v>4</v>
      </c>
      <c r="AE11" s="7">
        <v>3.75</v>
      </c>
      <c r="AF11" s="10">
        <v>3.75</v>
      </c>
      <c r="AG11" s="10">
        <v>3.5</v>
      </c>
      <c r="AH11" s="10">
        <v>4</v>
      </c>
      <c r="AI11" s="10">
        <v>4</v>
      </c>
      <c r="AJ11" s="11">
        <v>2.9545454545454546</v>
      </c>
      <c r="AK11" s="11">
        <v>2.8461538461538463</v>
      </c>
      <c r="AL11" s="11">
        <v>3</v>
      </c>
      <c r="AM11" s="8">
        <f t="shared" si="4"/>
        <v>3.5714285714285716</v>
      </c>
      <c r="AN11" s="8">
        <f t="shared" si="5"/>
        <v>3.8125</v>
      </c>
      <c r="AO11" s="8">
        <f t="shared" si="6"/>
        <v>2.9335664335664333</v>
      </c>
      <c r="AP11" s="8">
        <f t="shared" si="7"/>
        <v>3.4391650016650015</v>
      </c>
    </row>
    <row r="12" spans="1:42" ht="16" x14ac:dyDescent="0.2">
      <c r="A12" s="6" t="s">
        <v>68</v>
      </c>
      <c r="B12" s="5">
        <v>4</v>
      </c>
      <c r="C12" s="5">
        <v>4</v>
      </c>
      <c r="D12" s="5">
        <v>4</v>
      </c>
      <c r="E12" s="5">
        <v>4</v>
      </c>
      <c r="F12" s="5">
        <v>4</v>
      </c>
      <c r="G12" s="7">
        <v>1.5</v>
      </c>
      <c r="H12" s="7">
        <v>3</v>
      </c>
      <c r="I12" s="7">
        <v>3</v>
      </c>
      <c r="J12" s="7">
        <v>1.75</v>
      </c>
      <c r="K12" s="7">
        <v>1.5</v>
      </c>
      <c r="L12" s="7">
        <v>3.25</v>
      </c>
      <c r="M12" s="7">
        <v>1.75</v>
      </c>
      <c r="N12" s="7">
        <v>2.5</v>
      </c>
      <c r="O12" s="7">
        <v>1.75</v>
      </c>
      <c r="P12" s="7">
        <v>1.75</v>
      </c>
      <c r="Q12" s="7">
        <v>1</v>
      </c>
      <c r="R12" s="7">
        <v>1.2727272727272727</v>
      </c>
      <c r="S12" s="7">
        <v>1.6923076923076923</v>
      </c>
      <c r="T12" s="7">
        <v>1.2</v>
      </c>
      <c r="U12" s="8">
        <f t="shared" si="0"/>
        <v>2.25</v>
      </c>
      <c r="V12" s="8">
        <f t="shared" si="1"/>
        <v>1.75</v>
      </c>
      <c r="W12" s="8">
        <f t="shared" si="2"/>
        <v>1.3883449883449883</v>
      </c>
      <c r="X12" s="8">
        <f t="shared" si="3"/>
        <v>1.796114996114996</v>
      </c>
      <c r="Y12" s="9">
        <v>3.5</v>
      </c>
      <c r="Z12" s="7">
        <v>3.5</v>
      </c>
      <c r="AA12" s="7">
        <v>3.5</v>
      </c>
      <c r="AB12" s="7">
        <v>3.5</v>
      </c>
      <c r="AC12" s="7">
        <v>3.5</v>
      </c>
      <c r="AD12" s="7">
        <v>3.5</v>
      </c>
      <c r="AE12" s="7">
        <v>4</v>
      </c>
      <c r="AF12" s="10">
        <v>3.5</v>
      </c>
      <c r="AG12" s="10">
        <v>3.5</v>
      </c>
      <c r="AH12" s="10">
        <v>3</v>
      </c>
      <c r="AI12" s="10">
        <v>4</v>
      </c>
      <c r="AJ12" s="11">
        <v>2.9090909090909092</v>
      </c>
      <c r="AK12" s="11">
        <v>3</v>
      </c>
      <c r="AL12" s="11">
        <v>3</v>
      </c>
      <c r="AM12" s="8">
        <f t="shared" si="4"/>
        <v>3.5714285714285716</v>
      </c>
      <c r="AN12" s="8">
        <f t="shared" si="5"/>
        <v>3.5</v>
      </c>
      <c r="AO12" s="8">
        <f t="shared" si="6"/>
        <v>2.9696969696969702</v>
      </c>
      <c r="AP12" s="8">
        <f t="shared" si="7"/>
        <v>3.3470418470418473</v>
      </c>
    </row>
    <row r="13" spans="1:42" ht="16" x14ac:dyDescent="0.2">
      <c r="A13" s="6" t="s">
        <v>69</v>
      </c>
      <c r="B13" s="5">
        <v>4</v>
      </c>
      <c r="C13" s="5">
        <v>3</v>
      </c>
      <c r="D13" s="5">
        <v>3</v>
      </c>
      <c r="E13" s="5">
        <v>4</v>
      </c>
      <c r="F13" s="5">
        <v>4</v>
      </c>
      <c r="G13" s="7">
        <v>2.6666666666666665</v>
      </c>
      <c r="H13" s="7">
        <v>2.6666666666666665</v>
      </c>
      <c r="I13" s="7">
        <v>3</v>
      </c>
      <c r="J13" s="7">
        <v>2.6666666666666665</v>
      </c>
      <c r="K13" s="7">
        <v>2.3333333333333335</v>
      </c>
      <c r="L13" s="7">
        <v>3</v>
      </c>
      <c r="M13" s="7">
        <v>2.6666666666666665</v>
      </c>
      <c r="N13" s="7">
        <v>3.3333333333333335</v>
      </c>
      <c r="O13" s="7">
        <v>2.6666666666666665</v>
      </c>
      <c r="P13" s="7">
        <v>2.3333333333333335</v>
      </c>
      <c r="Q13" s="7">
        <v>1.6666666666666667</v>
      </c>
      <c r="R13" s="7">
        <v>2.1363636363636362</v>
      </c>
      <c r="S13" s="7">
        <v>2.3846153846153846</v>
      </c>
      <c r="T13" s="7">
        <v>1.6</v>
      </c>
      <c r="U13" s="8">
        <f t="shared" si="0"/>
        <v>2.7142857142857144</v>
      </c>
      <c r="V13" s="8">
        <f t="shared" si="1"/>
        <v>2.5</v>
      </c>
      <c r="W13" s="8">
        <f t="shared" si="2"/>
        <v>2.0403263403263403</v>
      </c>
      <c r="X13" s="8">
        <f t="shared" si="3"/>
        <v>2.4182040182040185</v>
      </c>
      <c r="Y13" s="9">
        <v>3.6666666666666665</v>
      </c>
      <c r="Z13" s="7">
        <v>3.3333333333333335</v>
      </c>
      <c r="AA13" s="7">
        <v>3.6666666666666665</v>
      </c>
      <c r="AB13" s="7">
        <v>3.6666666666666665</v>
      </c>
      <c r="AC13" s="7">
        <v>3</v>
      </c>
      <c r="AD13" s="7">
        <v>3.3333333333333335</v>
      </c>
      <c r="AE13" s="7">
        <v>3.3333333333333335</v>
      </c>
      <c r="AF13" s="10">
        <v>3.3333333333333335</v>
      </c>
      <c r="AG13" s="10">
        <v>4</v>
      </c>
      <c r="AH13" s="10">
        <v>3.3333333333333335</v>
      </c>
      <c r="AI13" s="10">
        <v>3.3333333333333335</v>
      </c>
      <c r="AJ13" s="11">
        <v>3</v>
      </c>
      <c r="AK13" s="11">
        <v>3</v>
      </c>
      <c r="AL13" s="11">
        <v>3</v>
      </c>
      <c r="AM13" s="8">
        <f t="shared" si="4"/>
        <v>3.4285714285714279</v>
      </c>
      <c r="AN13" s="8">
        <f t="shared" si="5"/>
        <v>3.5000000000000004</v>
      </c>
      <c r="AO13" s="8">
        <f t="shared" si="6"/>
        <v>3</v>
      </c>
      <c r="AP13" s="8">
        <f t="shared" si="7"/>
        <v>3.3095238095238098</v>
      </c>
    </row>
    <row r="14" spans="1:42" ht="16" x14ac:dyDescent="0.2">
      <c r="A14" s="6" t="s">
        <v>70</v>
      </c>
      <c r="B14" s="5">
        <v>3</v>
      </c>
      <c r="C14" s="5">
        <v>3</v>
      </c>
      <c r="D14" s="5">
        <v>4</v>
      </c>
      <c r="E14" s="5">
        <v>4</v>
      </c>
      <c r="F14" s="5">
        <v>4</v>
      </c>
      <c r="G14" s="7">
        <v>2.3333333333333335</v>
      </c>
      <c r="H14" s="7">
        <v>3</v>
      </c>
      <c r="I14" s="7">
        <v>3</v>
      </c>
      <c r="J14" s="7">
        <v>2.3333333333333335</v>
      </c>
      <c r="K14" s="7">
        <v>2.3333333333333335</v>
      </c>
      <c r="L14" s="7">
        <v>3.3333333333333335</v>
      </c>
      <c r="M14" s="7">
        <v>2.3333333333333335</v>
      </c>
      <c r="N14" s="7">
        <v>3.3333333333333335</v>
      </c>
      <c r="O14" s="7">
        <v>2.3333333333333335</v>
      </c>
      <c r="P14" s="7">
        <v>3.3333333333333335</v>
      </c>
      <c r="Q14" s="7">
        <v>3</v>
      </c>
      <c r="R14" s="7">
        <v>1.8181818181818181</v>
      </c>
      <c r="S14" s="7">
        <v>1.6153846153846154</v>
      </c>
      <c r="T14" s="7">
        <v>2</v>
      </c>
      <c r="U14" s="8">
        <f t="shared" si="0"/>
        <v>2.666666666666667</v>
      </c>
      <c r="V14" s="8">
        <f t="shared" si="1"/>
        <v>3</v>
      </c>
      <c r="W14" s="8">
        <f t="shared" si="2"/>
        <v>1.811188811188811</v>
      </c>
      <c r="X14" s="8">
        <f t="shared" si="3"/>
        <v>2.4926184926184924</v>
      </c>
      <c r="Y14" s="9">
        <v>3.8</v>
      </c>
      <c r="Z14" s="7">
        <v>3.8</v>
      </c>
      <c r="AA14" s="7">
        <v>3.6</v>
      </c>
      <c r="AB14" s="7">
        <v>3.2</v>
      </c>
      <c r="AC14" s="7">
        <v>3.4</v>
      </c>
      <c r="AD14" s="7">
        <v>3.6</v>
      </c>
      <c r="AE14" s="7">
        <v>3.8</v>
      </c>
      <c r="AF14" s="10">
        <v>3.4</v>
      </c>
      <c r="AG14" s="10">
        <v>3.8</v>
      </c>
      <c r="AH14" s="10">
        <v>3.4</v>
      </c>
      <c r="AI14" s="10">
        <v>3.6</v>
      </c>
      <c r="AJ14" s="11">
        <v>2.9545454545454546</v>
      </c>
      <c r="AK14" s="11">
        <v>3</v>
      </c>
      <c r="AL14" s="11">
        <v>3</v>
      </c>
      <c r="AM14" s="8">
        <f t="shared" si="4"/>
        <v>3.6</v>
      </c>
      <c r="AN14" s="8">
        <f t="shared" si="5"/>
        <v>3.55</v>
      </c>
      <c r="AO14" s="8">
        <f t="shared" si="6"/>
        <v>2.9848484848484849</v>
      </c>
      <c r="AP14" s="8">
        <f t="shared" si="7"/>
        <v>3.3782828282828281</v>
      </c>
    </row>
    <row r="15" spans="1:42" ht="16" x14ac:dyDescent="0.2">
      <c r="A15" s="6" t="s">
        <v>71</v>
      </c>
      <c r="B15" s="5">
        <v>3</v>
      </c>
      <c r="C15" s="5">
        <v>3</v>
      </c>
      <c r="D15" s="5">
        <v>3</v>
      </c>
      <c r="E15" s="5">
        <v>4</v>
      </c>
      <c r="F15" s="5">
        <v>4</v>
      </c>
      <c r="G15" s="7">
        <v>2.6666666666666665</v>
      </c>
      <c r="H15" s="7">
        <v>2.6666666666666665</v>
      </c>
      <c r="I15" s="7">
        <v>3.3333333333333335</v>
      </c>
      <c r="J15" s="7">
        <v>3.3333333333333335</v>
      </c>
      <c r="K15" s="7">
        <v>3</v>
      </c>
      <c r="L15" s="7">
        <v>3.6666666666666665</v>
      </c>
      <c r="M15" s="7">
        <v>2.3333333333333335</v>
      </c>
      <c r="N15" s="7">
        <v>3.3333333333333335</v>
      </c>
      <c r="O15" s="7">
        <v>3</v>
      </c>
      <c r="P15" s="7">
        <v>3</v>
      </c>
      <c r="Q15" s="7">
        <v>3</v>
      </c>
      <c r="R15" s="7">
        <v>1.4090909090909092</v>
      </c>
      <c r="S15" s="7">
        <v>1.9230769230769231</v>
      </c>
      <c r="T15" s="7">
        <v>1.8</v>
      </c>
      <c r="U15" s="8">
        <f t="shared" si="0"/>
        <v>3</v>
      </c>
      <c r="V15" s="8">
        <f t="shared" si="1"/>
        <v>3.0833333333333335</v>
      </c>
      <c r="W15" s="8">
        <f t="shared" si="2"/>
        <v>1.7107226107226108</v>
      </c>
      <c r="X15" s="8">
        <f t="shared" si="3"/>
        <v>2.5980186480186482</v>
      </c>
      <c r="Y15" s="9">
        <v>3.67</v>
      </c>
      <c r="Z15" s="7">
        <v>3</v>
      </c>
      <c r="AA15" s="7">
        <v>3.67</v>
      </c>
      <c r="AB15" s="7">
        <v>3.67</v>
      </c>
      <c r="AC15" s="7">
        <v>3.33</v>
      </c>
      <c r="AD15" s="7">
        <v>3.67</v>
      </c>
      <c r="AE15" s="7">
        <v>3</v>
      </c>
      <c r="AF15" s="10">
        <v>3.67</v>
      </c>
      <c r="AG15" s="10">
        <v>3.33</v>
      </c>
      <c r="AH15" s="10">
        <v>3.33</v>
      </c>
      <c r="AI15" s="10">
        <v>3.33</v>
      </c>
      <c r="AJ15" s="11">
        <v>2.6818181818181817</v>
      </c>
      <c r="AK15" s="11">
        <v>2.6153846153846154</v>
      </c>
      <c r="AL15" s="11">
        <v>2.6</v>
      </c>
      <c r="AM15" s="8">
        <f t="shared" si="4"/>
        <v>3.4299999999999997</v>
      </c>
      <c r="AN15" s="8">
        <f t="shared" si="5"/>
        <v>3.415</v>
      </c>
      <c r="AO15" s="8">
        <f t="shared" si="6"/>
        <v>2.6324009324009321</v>
      </c>
      <c r="AP15" s="8">
        <f t="shared" si="7"/>
        <v>3.1591336441336444</v>
      </c>
    </row>
    <row r="16" spans="1:42" ht="16" x14ac:dyDescent="0.2">
      <c r="A16" s="6" t="s">
        <v>72</v>
      </c>
      <c r="B16" s="5">
        <v>4</v>
      </c>
      <c r="C16" s="5">
        <v>3</v>
      </c>
      <c r="D16" s="5">
        <v>3</v>
      </c>
      <c r="E16" s="5">
        <v>4</v>
      </c>
      <c r="F16" s="5">
        <v>4</v>
      </c>
      <c r="G16" s="7">
        <v>1.6666666666666667</v>
      </c>
      <c r="H16" s="7">
        <v>3</v>
      </c>
      <c r="I16" s="7">
        <v>3</v>
      </c>
      <c r="J16" s="7">
        <v>2.3333333333333335</v>
      </c>
      <c r="K16" s="7">
        <v>2.6666666666666665</v>
      </c>
      <c r="L16" s="7">
        <v>2</v>
      </c>
      <c r="M16" s="7">
        <v>2.3333333333333335</v>
      </c>
      <c r="N16" s="7">
        <v>3</v>
      </c>
      <c r="O16" s="7">
        <v>1.6666666666666667</v>
      </c>
      <c r="P16" s="7">
        <v>2.3333333333333335</v>
      </c>
      <c r="Q16" s="7">
        <v>2.6666666666666665</v>
      </c>
      <c r="R16" s="7">
        <v>1.73</v>
      </c>
      <c r="S16" s="7">
        <v>1.92</v>
      </c>
      <c r="T16" s="7">
        <v>1.8</v>
      </c>
      <c r="U16" s="8">
        <f t="shared" si="0"/>
        <v>2.4285714285714284</v>
      </c>
      <c r="V16" s="8">
        <f t="shared" si="1"/>
        <v>2.4166666666666665</v>
      </c>
      <c r="W16" s="8">
        <f t="shared" si="2"/>
        <v>1.8166666666666667</v>
      </c>
      <c r="X16" s="8">
        <f t="shared" si="3"/>
        <v>2.2206349206349203</v>
      </c>
      <c r="Y16" s="9">
        <v>3.5</v>
      </c>
      <c r="Z16" s="7">
        <v>3.75</v>
      </c>
      <c r="AA16" s="7">
        <v>3.75</v>
      </c>
      <c r="AB16" s="7">
        <v>3.75</v>
      </c>
      <c r="AC16" s="7">
        <v>3.75</v>
      </c>
      <c r="AD16" s="7">
        <v>3.75</v>
      </c>
      <c r="AE16" s="7">
        <v>3.5</v>
      </c>
      <c r="AF16" s="10">
        <v>3.75</v>
      </c>
      <c r="AG16" s="10">
        <v>3.75</v>
      </c>
      <c r="AH16" s="10">
        <v>3.5</v>
      </c>
      <c r="AI16" s="10">
        <v>3.5</v>
      </c>
      <c r="AJ16" s="11">
        <v>2.8181818181818183</v>
      </c>
      <c r="AK16" s="11">
        <v>2.6923076923076925</v>
      </c>
      <c r="AL16" s="11">
        <v>2.6</v>
      </c>
      <c r="AM16" s="8">
        <f t="shared" si="4"/>
        <v>3.6785714285714284</v>
      </c>
      <c r="AN16" s="8">
        <f t="shared" si="5"/>
        <v>3.625</v>
      </c>
      <c r="AO16" s="8">
        <f t="shared" si="6"/>
        <v>2.7034965034965039</v>
      </c>
      <c r="AP16" s="8">
        <f t="shared" si="7"/>
        <v>3.3356893106893111</v>
      </c>
    </row>
    <row r="17" spans="1:42" ht="16" x14ac:dyDescent="0.2">
      <c r="A17" s="6" t="s">
        <v>73</v>
      </c>
      <c r="B17" s="5">
        <v>3</v>
      </c>
      <c r="C17" s="5">
        <v>3</v>
      </c>
      <c r="D17" s="5">
        <v>4</v>
      </c>
      <c r="E17" s="5">
        <v>4</v>
      </c>
      <c r="F17" s="5">
        <v>4</v>
      </c>
      <c r="G17" s="7">
        <v>1.6666666666666667</v>
      </c>
      <c r="H17" s="7">
        <v>2.3333333333333335</v>
      </c>
      <c r="I17" s="7">
        <v>2</v>
      </c>
      <c r="J17" s="7">
        <v>2</v>
      </c>
      <c r="K17" s="7">
        <v>2.3333333333333335</v>
      </c>
      <c r="L17" s="7">
        <v>2.3333333333333335</v>
      </c>
      <c r="M17" s="7">
        <v>2.6666666666666665</v>
      </c>
      <c r="N17" s="7">
        <v>2.6666666666666665</v>
      </c>
      <c r="O17" s="7">
        <v>2</v>
      </c>
      <c r="P17" s="7">
        <v>1.6666666666666667</v>
      </c>
      <c r="Q17" s="7">
        <v>1.6666666666666667</v>
      </c>
      <c r="R17" s="7">
        <v>1.8</v>
      </c>
      <c r="S17" s="7">
        <v>1.73</v>
      </c>
      <c r="T17" s="7">
        <v>1.92</v>
      </c>
      <c r="U17" s="8">
        <f t="shared" si="0"/>
        <v>2.1904761904761907</v>
      </c>
      <c r="V17" s="8">
        <f t="shared" si="1"/>
        <v>2</v>
      </c>
      <c r="W17" s="8">
        <f t="shared" si="2"/>
        <v>1.8166666666666667</v>
      </c>
      <c r="X17" s="8">
        <f t="shared" si="3"/>
        <v>2.0023809523809524</v>
      </c>
      <c r="Y17" s="9">
        <v>3.5</v>
      </c>
      <c r="Z17" s="7">
        <v>3.5</v>
      </c>
      <c r="AA17" s="7">
        <v>2.75</v>
      </c>
      <c r="AB17" s="7">
        <v>2.75</v>
      </c>
      <c r="AC17" s="7">
        <v>3.25</v>
      </c>
      <c r="AD17" s="7">
        <v>2.75</v>
      </c>
      <c r="AE17" s="7">
        <v>3</v>
      </c>
      <c r="AF17" s="10">
        <v>3.25</v>
      </c>
      <c r="AG17" s="10">
        <v>3.25</v>
      </c>
      <c r="AH17" s="10">
        <v>3.25</v>
      </c>
      <c r="AI17" s="10">
        <v>2.75</v>
      </c>
      <c r="AJ17" s="11">
        <v>2.7272727272727271</v>
      </c>
      <c r="AK17" s="11">
        <v>2.4615384615384617</v>
      </c>
      <c r="AL17" s="11">
        <v>3</v>
      </c>
      <c r="AM17" s="8">
        <f t="shared" si="4"/>
        <v>3.0714285714285716</v>
      </c>
      <c r="AN17" s="8">
        <f t="shared" si="5"/>
        <v>3.125</v>
      </c>
      <c r="AO17" s="8">
        <f t="shared" si="6"/>
        <v>2.7296037296037294</v>
      </c>
      <c r="AP17" s="8">
        <f t="shared" si="7"/>
        <v>2.9753441003441004</v>
      </c>
    </row>
    <row r="18" spans="1:42" ht="16" x14ac:dyDescent="0.2">
      <c r="A18" s="6" t="s">
        <v>74</v>
      </c>
      <c r="B18" s="5">
        <v>3</v>
      </c>
      <c r="C18" s="5">
        <v>3</v>
      </c>
      <c r="D18" s="5">
        <v>3</v>
      </c>
      <c r="E18" s="5">
        <v>3</v>
      </c>
      <c r="F18" s="5">
        <v>4</v>
      </c>
      <c r="G18" s="7">
        <v>2</v>
      </c>
      <c r="H18" s="12">
        <v>2.98</v>
      </c>
      <c r="I18" s="7">
        <v>3.25</v>
      </c>
      <c r="J18" s="7">
        <v>2.75</v>
      </c>
      <c r="K18" s="7">
        <v>2.5</v>
      </c>
      <c r="L18" s="7">
        <v>3.25</v>
      </c>
      <c r="M18" s="7">
        <v>1.75</v>
      </c>
      <c r="N18" s="7">
        <v>2.5</v>
      </c>
      <c r="O18" s="7">
        <v>2.5</v>
      </c>
      <c r="P18" s="7">
        <v>3</v>
      </c>
      <c r="Q18" s="7">
        <v>2.5</v>
      </c>
      <c r="R18" s="7">
        <v>1.7727272727272727</v>
      </c>
      <c r="S18" s="7">
        <v>1.8461538461538463</v>
      </c>
      <c r="T18" s="7">
        <v>1.6</v>
      </c>
      <c r="U18" s="8">
        <f t="shared" si="0"/>
        <v>2.64</v>
      </c>
      <c r="V18" s="8">
        <f t="shared" si="1"/>
        <v>2.625</v>
      </c>
      <c r="W18" s="8">
        <f t="shared" si="2"/>
        <v>1.7396270396270399</v>
      </c>
      <c r="X18" s="8">
        <f t="shared" si="3"/>
        <v>2.33487567987568</v>
      </c>
      <c r="Y18" s="9">
        <v>3.25</v>
      </c>
      <c r="Z18" s="12">
        <v>3.5</v>
      </c>
      <c r="AA18" s="7">
        <v>3.25</v>
      </c>
      <c r="AB18" s="7">
        <v>3.25</v>
      </c>
      <c r="AC18" s="7">
        <v>3.25</v>
      </c>
      <c r="AD18" s="7">
        <v>3.25</v>
      </c>
      <c r="AE18" s="7">
        <v>3</v>
      </c>
      <c r="AF18" s="10">
        <v>2.75</v>
      </c>
      <c r="AG18" s="10">
        <v>3</v>
      </c>
      <c r="AH18" s="10">
        <v>3</v>
      </c>
      <c r="AI18" s="10">
        <v>2.75</v>
      </c>
      <c r="AJ18" s="11">
        <v>2.7727272727272729</v>
      </c>
      <c r="AK18" s="11">
        <v>2.9230769230769229</v>
      </c>
      <c r="AL18" s="11">
        <v>3</v>
      </c>
      <c r="AM18" s="8">
        <f t="shared" si="4"/>
        <v>3.25</v>
      </c>
      <c r="AN18" s="8">
        <f t="shared" si="5"/>
        <v>2.875</v>
      </c>
      <c r="AO18" s="8">
        <f t="shared" si="6"/>
        <v>2.8986013986013988</v>
      </c>
      <c r="AP18" s="8">
        <f t="shared" si="7"/>
        <v>3.0078671328671329</v>
      </c>
    </row>
    <row r="19" spans="1:42" ht="16" x14ac:dyDescent="0.2">
      <c r="A19" s="6" t="s">
        <v>75</v>
      </c>
      <c r="B19" s="5">
        <v>4</v>
      </c>
      <c r="C19" s="5">
        <v>3</v>
      </c>
      <c r="D19" s="5">
        <v>3</v>
      </c>
      <c r="E19" s="5">
        <v>4</v>
      </c>
      <c r="F19" s="5">
        <v>4</v>
      </c>
      <c r="G19" s="7">
        <v>2.3333333333333335</v>
      </c>
      <c r="H19" s="7">
        <v>3.3333333333333335</v>
      </c>
      <c r="I19" s="12">
        <v>2.33</v>
      </c>
      <c r="J19" s="12">
        <v>1.33</v>
      </c>
      <c r="K19" s="12">
        <v>1</v>
      </c>
      <c r="L19" s="7">
        <v>3.3333333333333335</v>
      </c>
      <c r="M19" s="12">
        <v>2</v>
      </c>
      <c r="N19" s="12">
        <v>1.33</v>
      </c>
      <c r="O19" s="7">
        <v>3</v>
      </c>
      <c r="P19" s="7">
        <v>3.3333333333333335</v>
      </c>
      <c r="Q19" s="12">
        <v>2</v>
      </c>
      <c r="R19" s="7">
        <v>2.2727272727272729</v>
      </c>
      <c r="S19" s="7">
        <v>2.3846153846153846</v>
      </c>
      <c r="T19" s="7">
        <v>2.4</v>
      </c>
      <c r="U19" s="8">
        <f t="shared" si="0"/>
        <v>2.2371428571428575</v>
      </c>
      <c r="V19" s="8">
        <f t="shared" si="1"/>
        <v>2.4158333333333335</v>
      </c>
      <c r="W19" s="8">
        <f t="shared" si="2"/>
        <v>2.3524475524475523</v>
      </c>
      <c r="X19" s="8">
        <f t="shared" si="3"/>
        <v>2.3351412476412476</v>
      </c>
      <c r="Y19" s="9">
        <v>2.75</v>
      </c>
      <c r="Z19" s="7">
        <v>3.5</v>
      </c>
      <c r="AA19" s="12">
        <v>3.25</v>
      </c>
      <c r="AB19" s="12">
        <v>3.67</v>
      </c>
      <c r="AC19" s="12">
        <v>3.25</v>
      </c>
      <c r="AD19" s="7">
        <v>3.75</v>
      </c>
      <c r="AE19" s="12">
        <v>3.5</v>
      </c>
      <c r="AF19" s="12">
        <v>3.25</v>
      </c>
      <c r="AG19" s="10">
        <v>3.25</v>
      </c>
      <c r="AH19" s="10">
        <v>3.5</v>
      </c>
      <c r="AI19" s="12">
        <v>3.33</v>
      </c>
      <c r="AJ19" s="11">
        <v>2.9545454545454546</v>
      </c>
      <c r="AK19" s="11">
        <v>3</v>
      </c>
      <c r="AL19" s="11">
        <v>3</v>
      </c>
      <c r="AM19" s="8">
        <f t="shared" si="4"/>
        <v>3.3814285714285717</v>
      </c>
      <c r="AN19" s="8">
        <f t="shared" si="5"/>
        <v>3.3325</v>
      </c>
      <c r="AO19" s="8">
        <f t="shared" si="6"/>
        <v>2.9848484848484849</v>
      </c>
      <c r="AP19" s="8">
        <f t="shared" si="7"/>
        <v>3.2329256854256854</v>
      </c>
    </row>
    <row r="20" spans="1:42" ht="16" x14ac:dyDescent="0.2">
      <c r="A20" s="6" t="s">
        <v>76</v>
      </c>
      <c r="B20" s="5">
        <v>3</v>
      </c>
      <c r="C20" s="5">
        <v>4</v>
      </c>
      <c r="D20" s="5">
        <v>3</v>
      </c>
      <c r="E20" s="5">
        <v>4</v>
      </c>
      <c r="F20" s="5">
        <v>4</v>
      </c>
      <c r="G20" s="7">
        <v>2.6666666666666665</v>
      </c>
      <c r="H20" s="7">
        <v>2.3333333333333335</v>
      </c>
      <c r="I20" s="12">
        <v>2.33</v>
      </c>
      <c r="J20" s="7">
        <v>2.3333333333333335</v>
      </c>
      <c r="K20" s="7">
        <v>3</v>
      </c>
      <c r="L20" s="7">
        <v>3.3333333333333335</v>
      </c>
      <c r="M20" s="7">
        <v>2.6666666666666665</v>
      </c>
      <c r="N20" s="12">
        <v>2</v>
      </c>
      <c r="O20" s="7">
        <v>3</v>
      </c>
      <c r="P20" s="7">
        <v>3</v>
      </c>
      <c r="Q20" s="7">
        <v>1</v>
      </c>
      <c r="R20" s="7">
        <v>2.2272727272727271</v>
      </c>
      <c r="S20" s="7">
        <v>2.6923076923076925</v>
      </c>
      <c r="T20" s="7">
        <v>2.8</v>
      </c>
      <c r="U20" s="8">
        <f t="shared" si="0"/>
        <v>2.6661904761904762</v>
      </c>
      <c r="V20" s="8">
        <f t="shared" si="1"/>
        <v>2.25</v>
      </c>
      <c r="W20" s="8">
        <f t="shared" si="2"/>
        <v>2.5731934731934731</v>
      </c>
      <c r="X20" s="8">
        <f t="shared" si="3"/>
        <v>2.4964613164613163</v>
      </c>
      <c r="Y20" s="9">
        <v>3</v>
      </c>
      <c r="Z20" s="7">
        <v>3.6666666666666665</v>
      </c>
      <c r="AA20" s="12">
        <v>3.67</v>
      </c>
      <c r="AB20" s="7">
        <v>3.6666666666666665</v>
      </c>
      <c r="AC20" s="7">
        <v>3.3333333333333335</v>
      </c>
      <c r="AD20" s="7">
        <v>4</v>
      </c>
      <c r="AE20" s="7">
        <v>3.3333333333333335</v>
      </c>
      <c r="AF20" s="12">
        <v>3.67</v>
      </c>
      <c r="AG20" s="10">
        <v>3.3333333333333335</v>
      </c>
      <c r="AH20" s="10">
        <v>3.6666666666666665</v>
      </c>
      <c r="AI20" s="10">
        <v>4</v>
      </c>
      <c r="AJ20" s="11">
        <v>3</v>
      </c>
      <c r="AK20" s="11">
        <v>3</v>
      </c>
      <c r="AL20" s="11">
        <v>3</v>
      </c>
      <c r="AM20" s="8">
        <f t="shared" si="4"/>
        <v>3.524285714285714</v>
      </c>
      <c r="AN20" s="8">
        <f t="shared" si="5"/>
        <v>3.6675</v>
      </c>
      <c r="AO20" s="8">
        <f t="shared" si="6"/>
        <v>3</v>
      </c>
      <c r="AP20" s="8">
        <f t="shared" si="7"/>
        <v>3.3972619047619048</v>
      </c>
    </row>
    <row r="21" spans="1:42" ht="16" x14ac:dyDescent="0.2">
      <c r="A21" s="6" t="s">
        <v>77</v>
      </c>
      <c r="B21" s="5">
        <v>4</v>
      </c>
      <c r="C21" s="5">
        <v>4</v>
      </c>
      <c r="D21" s="5">
        <v>4</v>
      </c>
      <c r="E21" s="5">
        <v>4</v>
      </c>
      <c r="F21" s="5">
        <v>4</v>
      </c>
      <c r="G21" s="7">
        <v>1.6666666666666667</v>
      </c>
      <c r="H21" s="7">
        <v>3</v>
      </c>
      <c r="I21" s="7">
        <v>2.3333333333333335</v>
      </c>
      <c r="J21" s="7">
        <v>2</v>
      </c>
      <c r="K21" s="7">
        <v>1.6666666666666667</v>
      </c>
      <c r="L21" s="7">
        <v>3.3333333333333335</v>
      </c>
      <c r="M21" s="7">
        <v>1.6666666666666667</v>
      </c>
      <c r="N21" s="7">
        <v>2.3333333333333335</v>
      </c>
      <c r="O21" s="7">
        <v>2.3333333333333335</v>
      </c>
      <c r="P21" s="7">
        <v>1.6666666666666667</v>
      </c>
      <c r="Q21" s="7">
        <v>1</v>
      </c>
      <c r="R21" s="7">
        <v>1.3181818181818181</v>
      </c>
      <c r="S21" s="7">
        <v>1.3846153846153846</v>
      </c>
      <c r="T21" s="7">
        <v>1.4</v>
      </c>
      <c r="U21" s="8">
        <f t="shared" si="0"/>
        <v>2.2380952380952381</v>
      </c>
      <c r="V21" s="8">
        <f t="shared" si="1"/>
        <v>1.8333333333333335</v>
      </c>
      <c r="W21" s="8">
        <f t="shared" si="2"/>
        <v>1.3675990675990672</v>
      </c>
      <c r="X21" s="8">
        <f t="shared" si="3"/>
        <v>1.8130092130092128</v>
      </c>
      <c r="Y21" s="9">
        <v>3.25</v>
      </c>
      <c r="Z21" s="7">
        <v>3.75</v>
      </c>
      <c r="AA21" s="7">
        <v>3.25</v>
      </c>
      <c r="AB21" s="7">
        <v>3.5</v>
      </c>
      <c r="AC21" s="7">
        <v>3.75</v>
      </c>
      <c r="AD21" s="7">
        <v>3.5</v>
      </c>
      <c r="AE21" s="7">
        <v>2.75</v>
      </c>
      <c r="AF21" s="10">
        <v>3.25</v>
      </c>
      <c r="AG21" s="10">
        <v>3.75</v>
      </c>
      <c r="AH21" s="10">
        <v>3.5</v>
      </c>
      <c r="AI21" s="10">
        <v>3.25</v>
      </c>
      <c r="AJ21" s="11">
        <v>2.5454545454545454</v>
      </c>
      <c r="AK21" s="11">
        <v>2.9230769230769229</v>
      </c>
      <c r="AL21" s="11">
        <v>3</v>
      </c>
      <c r="AM21" s="8">
        <f t="shared" si="4"/>
        <v>3.3928571428571428</v>
      </c>
      <c r="AN21" s="8">
        <f t="shared" si="5"/>
        <v>3.4375</v>
      </c>
      <c r="AO21" s="8">
        <f t="shared" si="6"/>
        <v>2.8228438228438226</v>
      </c>
      <c r="AP21" s="8">
        <f t="shared" si="7"/>
        <v>3.2177336552336548</v>
      </c>
    </row>
    <row r="22" spans="1:42" ht="16" x14ac:dyDescent="0.2">
      <c r="A22" s="6" t="s">
        <v>78</v>
      </c>
      <c r="B22" s="5">
        <v>4</v>
      </c>
      <c r="C22" s="5">
        <v>3</v>
      </c>
      <c r="D22" s="5">
        <v>4</v>
      </c>
      <c r="E22" s="5">
        <v>4</v>
      </c>
      <c r="F22" s="5">
        <v>4</v>
      </c>
      <c r="G22" s="7">
        <v>2</v>
      </c>
      <c r="H22" s="12">
        <v>2.33</v>
      </c>
      <c r="I22" s="12">
        <v>1.67</v>
      </c>
      <c r="J22" s="7">
        <v>2</v>
      </c>
      <c r="K22" s="7">
        <v>1.6666666666666667</v>
      </c>
      <c r="L22" s="12">
        <v>2</v>
      </c>
      <c r="M22" s="7">
        <v>2.3333333333333335</v>
      </c>
      <c r="N22" s="7">
        <v>3.6666666666666665</v>
      </c>
      <c r="O22" s="7">
        <v>2</v>
      </c>
      <c r="P22" s="7">
        <v>3.3333333333333335</v>
      </c>
      <c r="Q22" s="7">
        <v>1</v>
      </c>
      <c r="R22" s="7">
        <v>1.77</v>
      </c>
      <c r="S22" s="7">
        <v>2.38</v>
      </c>
      <c r="T22" s="7">
        <v>1.6</v>
      </c>
      <c r="U22" s="8">
        <f t="shared" si="0"/>
        <v>2</v>
      </c>
      <c r="V22" s="8">
        <f t="shared" si="1"/>
        <v>2.5</v>
      </c>
      <c r="W22" s="8">
        <f t="shared" si="2"/>
        <v>1.9166666666666667</v>
      </c>
      <c r="X22" s="8">
        <f t="shared" si="3"/>
        <v>2.1388888888888888</v>
      </c>
      <c r="Y22" s="9">
        <v>3.25</v>
      </c>
      <c r="Z22" s="12">
        <v>3.5</v>
      </c>
      <c r="AA22" s="12">
        <v>3</v>
      </c>
      <c r="AB22" s="7">
        <v>3.25</v>
      </c>
      <c r="AC22" s="7">
        <v>3</v>
      </c>
      <c r="AD22" s="12">
        <v>3.75</v>
      </c>
      <c r="AE22" s="7">
        <v>2.75</v>
      </c>
      <c r="AF22" s="10">
        <v>3.75</v>
      </c>
      <c r="AG22" s="10">
        <v>3.75</v>
      </c>
      <c r="AH22" s="10">
        <v>3.75</v>
      </c>
      <c r="AI22" s="10">
        <v>3.25</v>
      </c>
      <c r="AJ22" s="11">
        <v>2.8636363636363638</v>
      </c>
      <c r="AK22" s="11">
        <v>2.9230769230769229</v>
      </c>
      <c r="AL22" s="11">
        <v>2.8</v>
      </c>
      <c r="AM22" s="8">
        <f t="shared" si="4"/>
        <v>3.2142857142857144</v>
      </c>
      <c r="AN22" s="8">
        <f t="shared" si="5"/>
        <v>3.625</v>
      </c>
      <c r="AO22" s="8">
        <f t="shared" si="6"/>
        <v>2.8622377622377626</v>
      </c>
      <c r="AP22" s="8">
        <f t="shared" si="7"/>
        <v>3.2338411588411589</v>
      </c>
    </row>
    <row r="23" spans="1:42" ht="16" x14ac:dyDescent="0.2">
      <c r="A23" s="6" t="s">
        <v>79</v>
      </c>
      <c r="B23" s="5">
        <v>4</v>
      </c>
      <c r="C23" s="5">
        <v>4</v>
      </c>
      <c r="D23" s="5">
        <v>4</v>
      </c>
      <c r="E23" s="5">
        <v>4</v>
      </c>
      <c r="F23" s="5">
        <v>4</v>
      </c>
      <c r="G23" s="7">
        <v>2.3333333333333335</v>
      </c>
      <c r="H23" s="12">
        <v>2</v>
      </c>
      <c r="I23" s="7">
        <v>3.3333333333333335</v>
      </c>
      <c r="J23" s="7">
        <v>2</v>
      </c>
      <c r="K23" s="7">
        <v>2.3333333333333335</v>
      </c>
      <c r="L23" s="12">
        <v>2.67</v>
      </c>
      <c r="M23" s="7">
        <v>2</v>
      </c>
      <c r="N23" s="12">
        <v>1.67</v>
      </c>
      <c r="O23" s="7">
        <v>1.6666666666666667</v>
      </c>
      <c r="P23" s="7">
        <v>2.6666666666666665</v>
      </c>
      <c r="Q23" s="7">
        <v>1</v>
      </c>
      <c r="R23" s="7">
        <v>1.5909090909090908</v>
      </c>
      <c r="S23" s="7">
        <v>1.5384615384615385</v>
      </c>
      <c r="T23" s="7">
        <v>1.6</v>
      </c>
      <c r="U23" s="8">
        <f t="shared" si="0"/>
        <v>2.3814285714285717</v>
      </c>
      <c r="V23" s="8">
        <f t="shared" si="1"/>
        <v>1.7508333333333335</v>
      </c>
      <c r="W23" s="8">
        <f t="shared" si="2"/>
        <v>1.5764568764568765</v>
      </c>
      <c r="X23" s="8">
        <f t="shared" si="3"/>
        <v>1.9029062604062605</v>
      </c>
      <c r="Y23" s="9">
        <v>3.5</v>
      </c>
      <c r="Z23" s="12">
        <v>3</v>
      </c>
      <c r="AA23" s="7">
        <v>3.5</v>
      </c>
      <c r="AB23" s="7">
        <v>3</v>
      </c>
      <c r="AC23" s="7">
        <v>3</v>
      </c>
      <c r="AD23" s="12">
        <v>3.67</v>
      </c>
      <c r="AE23" s="7">
        <v>3</v>
      </c>
      <c r="AF23" s="12">
        <v>3.5</v>
      </c>
      <c r="AG23" s="10">
        <v>3.5</v>
      </c>
      <c r="AH23" s="10">
        <v>3.5</v>
      </c>
      <c r="AI23" s="10">
        <v>3</v>
      </c>
      <c r="AJ23" s="11">
        <v>3</v>
      </c>
      <c r="AK23" s="11">
        <v>3</v>
      </c>
      <c r="AL23" s="11">
        <v>3</v>
      </c>
      <c r="AM23" s="8">
        <f t="shared" si="4"/>
        <v>3.2385714285714289</v>
      </c>
      <c r="AN23" s="8">
        <f t="shared" si="5"/>
        <v>3.375</v>
      </c>
      <c r="AO23" s="8">
        <f t="shared" si="6"/>
        <v>3</v>
      </c>
      <c r="AP23" s="8">
        <f t="shared" si="7"/>
        <v>3.2045238095238098</v>
      </c>
    </row>
    <row r="24" spans="1:42" ht="16" x14ac:dyDescent="0.2">
      <c r="A24" s="6" t="s">
        <v>80</v>
      </c>
      <c r="B24" s="5">
        <v>4</v>
      </c>
      <c r="C24" s="5">
        <v>3</v>
      </c>
      <c r="D24" s="5">
        <v>3</v>
      </c>
      <c r="E24" s="5">
        <v>4</v>
      </c>
      <c r="F24" s="5">
        <v>4</v>
      </c>
      <c r="G24" s="7">
        <v>1</v>
      </c>
      <c r="H24" s="12">
        <v>2</v>
      </c>
      <c r="I24" s="7">
        <v>2</v>
      </c>
      <c r="J24" s="12">
        <v>1.33</v>
      </c>
      <c r="K24" s="12">
        <v>1.33</v>
      </c>
      <c r="L24" s="7">
        <v>2.3333333333333335</v>
      </c>
      <c r="M24" s="7">
        <v>2</v>
      </c>
      <c r="N24" s="7">
        <v>2.3333333333333335</v>
      </c>
      <c r="O24" s="7">
        <v>1.6666666666666667</v>
      </c>
      <c r="P24" s="12">
        <v>2.5</v>
      </c>
      <c r="Q24" s="7">
        <v>1</v>
      </c>
      <c r="R24" s="7">
        <v>2</v>
      </c>
      <c r="S24" s="7">
        <v>2</v>
      </c>
      <c r="T24" s="7">
        <v>2</v>
      </c>
      <c r="U24" s="8">
        <f t="shared" si="0"/>
        <v>1.7133333333333334</v>
      </c>
      <c r="V24" s="8">
        <f t="shared" si="1"/>
        <v>1.875</v>
      </c>
      <c r="W24" s="8">
        <f t="shared" si="2"/>
        <v>2</v>
      </c>
      <c r="X24" s="8">
        <f t="shared" si="3"/>
        <v>1.8627777777777776</v>
      </c>
      <c r="Y24" s="9">
        <v>2.5</v>
      </c>
      <c r="Z24" s="12">
        <v>3.33</v>
      </c>
      <c r="AA24" s="7">
        <v>2.5</v>
      </c>
      <c r="AB24" s="12">
        <v>3.75</v>
      </c>
      <c r="AC24" s="12">
        <v>3.25</v>
      </c>
      <c r="AD24" s="7">
        <v>3</v>
      </c>
      <c r="AE24" s="7">
        <v>2</v>
      </c>
      <c r="AF24" s="10">
        <v>3</v>
      </c>
      <c r="AG24" s="10">
        <v>3.5</v>
      </c>
      <c r="AH24" s="12">
        <v>3.67</v>
      </c>
      <c r="AI24" s="10">
        <v>2.5</v>
      </c>
      <c r="AJ24" s="11">
        <v>3</v>
      </c>
      <c r="AK24" s="11">
        <v>2.8461538461538463</v>
      </c>
      <c r="AL24" s="11">
        <v>3</v>
      </c>
      <c r="AM24" s="8">
        <f t="shared" si="4"/>
        <v>2.9042857142857139</v>
      </c>
      <c r="AN24" s="8">
        <f t="shared" si="5"/>
        <v>3.1675</v>
      </c>
      <c r="AO24" s="8">
        <f t="shared" si="6"/>
        <v>2.9487179487179489</v>
      </c>
      <c r="AP24" s="8">
        <f t="shared" si="7"/>
        <v>3.0068345543345543</v>
      </c>
    </row>
    <row r="25" spans="1:42" ht="16" x14ac:dyDescent="0.2">
      <c r="A25" s="6" t="s">
        <v>81</v>
      </c>
      <c r="B25" s="5">
        <v>4</v>
      </c>
      <c r="C25" s="5">
        <v>4</v>
      </c>
      <c r="D25" s="5">
        <v>4</v>
      </c>
      <c r="E25" s="5">
        <v>4</v>
      </c>
      <c r="F25" s="5">
        <v>4</v>
      </c>
      <c r="G25" s="7">
        <v>2.5</v>
      </c>
      <c r="H25" s="7">
        <v>3.25</v>
      </c>
      <c r="I25" s="7">
        <v>3.75</v>
      </c>
      <c r="J25" s="7">
        <v>2.75</v>
      </c>
      <c r="K25" s="7">
        <v>2.5</v>
      </c>
      <c r="L25" s="7">
        <v>3</v>
      </c>
      <c r="M25" s="7">
        <v>2.75</v>
      </c>
      <c r="N25" s="7">
        <v>3</v>
      </c>
      <c r="O25" s="7">
        <v>3</v>
      </c>
      <c r="P25" s="7">
        <v>2.25</v>
      </c>
      <c r="Q25" s="7">
        <v>1.25</v>
      </c>
      <c r="R25" s="7">
        <v>1.7272727272727273</v>
      </c>
      <c r="S25" s="7">
        <v>1.6923076923076923</v>
      </c>
      <c r="T25" s="7">
        <v>1.6</v>
      </c>
      <c r="U25" s="8">
        <f t="shared" si="0"/>
        <v>2.9285714285714284</v>
      </c>
      <c r="V25" s="8">
        <f t="shared" si="1"/>
        <v>2.375</v>
      </c>
      <c r="W25" s="8">
        <f t="shared" si="2"/>
        <v>1.6731934731934732</v>
      </c>
      <c r="X25" s="8">
        <f t="shared" si="3"/>
        <v>2.3255883005883007</v>
      </c>
      <c r="Y25" s="9">
        <v>4</v>
      </c>
      <c r="Z25" s="7">
        <v>4</v>
      </c>
      <c r="AA25" s="7">
        <v>4</v>
      </c>
      <c r="AB25" s="7">
        <v>4</v>
      </c>
      <c r="AC25" s="7">
        <v>3.5</v>
      </c>
      <c r="AD25" s="7">
        <v>4</v>
      </c>
      <c r="AE25" s="7">
        <v>4</v>
      </c>
      <c r="AF25" s="10">
        <v>4</v>
      </c>
      <c r="AG25" s="10">
        <v>4</v>
      </c>
      <c r="AH25" s="10">
        <v>4</v>
      </c>
      <c r="AI25" s="10">
        <v>4</v>
      </c>
      <c r="AJ25" s="11">
        <v>3</v>
      </c>
      <c r="AK25" s="11">
        <v>3</v>
      </c>
      <c r="AL25" s="11">
        <v>3</v>
      </c>
      <c r="AM25" s="8">
        <f t="shared" si="4"/>
        <v>3.9285714285714284</v>
      </c>
      <c r="AN25" s="8">
        <f t="shared" si="5"/>
        <v>4</v>
      </c>
      <c r="AO25" s="8">
        <f t="shared" si="6"/>
        <v>3</v>
      </c>
      <c r="AP25" s="8">
        <f t="shared" si="7"/>
        <v>3.6428571428571428</v>
      </c>
    </row>
    <row r="26" spans="1:42" ht="16" x14ac:dyDescent="0.2">
      <c r="A26" s="6" t="s">
        <v>82</v>
      </c>
      <c r="B26" s="5">
        <v>4</v>
      </c>
      <c r="C26" s="5">
        <v>3</v>
      </c>
      <c r="D26" s="5">
        <v>3</v>
      </c>
      <c r="E26" s="5">
        <v>4</v>
      </c>
      <c r="F26" s="5">
        <v>4</v>
      </c>
      <c r="G26" s="7">
        <v>2.3333333333333335</v>
      </c>
      <c r="H26" s="7">
        <v>3.6666666666666665</v>
      </c>
      <c r="I26" s="7">
        <v>3.3333333333333335</v>
      </c>
      <c r="J26" s="7">
        <v>2.3333333333333335</v>
      </c>
      <c r="K26" s="7">
        <v>2.3333333333333335</v>
      </c>
      <c r="L26" s="7">
        <v>3</v>
      </c>
      <c r="M26" s="7">
        <v>2.3333333333333335</v>
      </c>
      <c r="N26" s="7">
        <v>3</v>
      </c>
      <c r="O26" s="7">
        <v>2</v>
      </c>
      <c r="P26" s="12">
        <v>2</v>
      </c>
      <c r="Q26" s="7">
        <v>3</v>
      </c>
      <c r="R26" s="7">
        <v>1.9545454545454546</v>
      </c>
      <c r="S26" s="7">
        <v>2.3846153846153846</v>
      </c>
      <c r="T26" s="7">
        <v>2.2000000000000002</v>
      </c>
      <c r="U26" s="8">
        <f t="shared" si="0"/>
        <v>2.7619047619047619</v>
      </c>
      <c r="V26" s="8">
        <f t="shared" si="1"/>
        <v>2.5</v>
      </c>
      <c r="W26" s="8">
        <f t="shared" si="2"/>
        <v>2.1797202797202799</v>
      </c>
      <c r="X26" s="8">
        <f t="shared" si="3"/>
        <v>2.4805416805416804</v>
      </c>
      <c r="Y26" s="9">
        <v>4</v>
      </c>
      <c r="Z26" s="7">
        <v>4</v>
      </c>
      <c r="AA26" s="7">
        <v>4</v>
      </c>
      <c r="AB26" s="7">
        <v>4</v>
      </c>
      <c r="AC26" s="7">
        <v>4</v>
      </c>
      <c r="AD26" s="7">
        <v>4</v>
      </c>
      <c r="AE26" s="7">
        <v>3.5</v>
      </c>
      <c r="AF26" s="10">
        <v>4</v>
      </c>
      <c r="AG26" s="10">
        <v>3.5</v>
      </c>
      <c r="AH26" s="12">
        <v>3.25</v>
      </c>
      <c r="AI26" s="10">
        <v>3.5</v>
      </c>
      <c r="AJ26" s="11">
        <v>2.6818181818181817</v>
      </c>
      <c r="AK26" s="11">
        <v>2.6923076923076925</v>
      </c>
      <c r="AL26" s="11">
        <v>2.8</v>
      </c>
      <c r="AM26" s="8">
        <f t="shared" si="4"/>
        <v>3.9285714285714284</v>
      </c>
      <c r="AN26" s="8">
        <f t="shared" si="5"/>
        <v>3.5625</v>
      </c>
      <c r="AO26" s="8">
        <f t="shared" si="6"/>
        <v>2.7247086247086245</v>
      </c>
      <c r="AP26" s="8">
        <f t="shared" si="7"/>
        <v>3.4052600177600176</v>
      </c>
    </row>
    <row r="27" spans="1:42" ht="16" x14ac:dyDescent="0.2">
      <c r="A27" s="6" t="s">
        <v>83</v>
      </c>
      <c r="B27" s="5">
        <v>3</v>
      </c>
      <c r="C27" s="5">
        <v>4</v>
      </c>
      <c r="D27" s="5">
        <v>3</v>
      </c>
      <c r="E27" s="5">
        <v>4</v>
      </c>
      <c r="F27" s="5">
        <v>4</v>
      </c>
      <c r="G27" s="7">
        <v>2</v>
      </c>
      <c r="H27" s="7">
        <v>3</v>
      </c>
      <c r="I27" s="7">
        <v>3</v>
      </c>
      <c r="J27" s="7">
        <v>3</v>
      </c>
      <c r="K27" s="7">
        <v>2.5</v>
      </c>
      <c r="L27" s="12">
        <v>3</v>
      </c>
      <c r="M27" s="7">
        <v>2</v>
      </c>
      <c r="N27" s="12">
        <v>1.5</v>
      </c>
      <c r="O27" s="7">
        <v>2.5</v>
      </c>
      <c r="P27" s="7">
        <v>3</v>
      </c>
      <c r="Q27" s="7">
        <v>2.5</v>
      </c>
      <c r="R27" s="7">
        <v>2.2272727272727271</v>
      </c>
      <c r="S27" s="7">
        <v>2.1538461538461537</v>
      </c>
      <c r="T27" s="7">
        <v>2.2000000000000002</v>
      </c>
      <c r="U27" s="8">
        <f t="shared" si="0"/>
        <v>2.6428571428571428</v>
      </c>
      <c r="V27" s="8">
        <f t="shared" si="1"/>
        <v>2.375</v>
      </c>
      <c r="W27" s="8">
        <f t="shared" si="2"/>
        <v>2.1937062937062937</v>
      </c>
      <c r="X27" s="8">
        <f t="shared" si="3"/>
        <v>2.4038544788544787</v>
      </c>
      <c r="Y27" s="9">
        <v>3.25</v>
      </c>
      <c r="Z27" s="7">
        <v>3.25</v>
      </c>
      <c r="AA27" s="7">
        <v>3.5</v>
      </c>
      <c r="AB27" s="7">
        <v>3.5</v>
      </c>
      <c r="AC27" s="7">
        <v>3.75</v>
      </c>
      <c r="AD27" s="12">
        <v>3.95</v>
      </c>
      <c r="AE27" s="7">
        <v>3.25</v>
      </c>
      <c r="AF27" s="12">
        <v>3.25</v>
      </c>
      <c r="AG27" s="10">
        <v>3.5</v>
      </c>
      <c r="AH27" s="10">
        <v>3.5</v>
      </c>
      <c r="AI27" s="10">
        <v>3</v>
      </c>
      <c r="AJ27" s="11">
        <v>2.9090909090909092</v>
      </c>
      <c r="AK27" s="11">
        <v>2.6923076923076925</v>
      </c>
      <c r="AL27" s="11">
        <v>3</v>
      </c>
      <c r="AM27" s="8">
        <f t="shared" si="4"/>
        <v>3.4928571428571429</v>
      </c>
      <c r="AN27" s="8">
        <f t="shared" si="5"/>
        <v>3.3125</v>
      </c>
      <c r="AO27" s="8">
        <f t="shared" si="6"/>
        <v>2.8671328671328671</v>
      </c>
      <c r="AP27" s="8">
        <f t="shared" si="7"/>
        <v>3.2241633366633367</v>
      </c>
    </row>
    <row r="28" spans="1:42" ht="16" x14ac:dyDescent="0.2">
      <c r="A28" s="6" t="s">
        <v>84</v>
      </c>
      <c r="B28" s="5">
        <v>3</v>
      </c>
      <c r="C28" s="5">
        <v>4</v>
      </c>
      <c r="D28" s="5">
        <v>4</v>
      </c>
      <c r="E28" s="5">
        <v>4</v>
      </c>
      <c r="F28" s="5">
        <v>4</v>
      </c>
      <c r="G28" s="7">
        <v>1.5</v>
      </c>
      <c r="H28" s="7">
        <v>2</v>
      </c>
      <c r="I28" s="7">
        <v>2.5</v>
      </c>
      <c r="J28" s="7">
        <v>1</v>
      </c>
      <c r="K28" s="7">
        <v>2</v>
      </c>
      <c r="L28" s="7">
        <v>2</v>
      </c>
      <c r="M28" s="7">
        <v>1</v>
      </c>
      <c r="N28" s="7">
        <v>2.5</v>
      </c>
      <c r="O28" s="7">
        <v>1.5</v>
      </c>
      <c r="P28" s="7">
        <v>1.5</v>
      </c>
      <c r="Q28" s="7">
        <v>1</v>
      </c>
      <c r="R28" s="7">
        <v>1.9545454545454546</v>
      </c>
      <c r="S28" s="12">
        <v>1.9230769230769231</v>
      </c>
      <c r="T28" s="12">
        <v>1.6</v>
      </c>
      <c r="U28" s="8">
        <f t="shared" si="0"/>
        <v>1.7142857142857142</v>
      </c>
      <c r="V28" s="8">
        <f t="shared" si="1"/>
        <v>1.625</v>
      </c>
      <c r="W28" s="8">
        <f t="shared" si="2"/>
        <v>1.825874125874126</v>
      </c>
      <c r="X28" s="8">
        <f t="shared" si="3"/>
        <v>1.7217199467199469</v>
      </c>
      <c r="Y28" s="9">
        <v>1.6666666666666667</v>
      </c>
      <c r="Z28" s="7">
        <v>3.6666666666666665</v>
      </c>
      <c r="AA28" s="7">
        <v>3.3333333333333335</v>
      </c>
      <c r="AB28" s="7">
        <v>2.3333333333333335</v>
      </c>
      <c r="AC28" s="7">
        <v>3.3333333333333335</v>
      </c>
      <c r="AD28" s="7">
        <v>4</v>
      </c>
      <c r="AE28" s="7">
        <v>2.3333333333333335</v>
      </c>
      <c r="AF28" s="10">
        <v>3</v>
      </c>
      <c r="AG28" s="10">
        <v>3.6666666666666665</v>
      </c>
      <c r="AH28" s="10">
        <v>2.6666666666666665</v>
      </c>
      <c r="AI28" s="10">
        <v>3.3333333333333335</v>
      </c>
      <c r="AJ28" s="11">
        <v>1.9545454545454546</v>
      </c>
      <c r="AK28" s="14">
        <v>2.85</v>
      </c>
      <c r="AL28" s="14">
        <v>2.8</v>
      </c>
      <c r="AM28" s="8">
        <f t="shared" si="4"/>
        <v>2.9523809523809526</v>
      </c>
      <c r="AN28" s="8">
        <f t="shared" si="5"/>
        <v>3.1666666666666665</v>
      </c>
      <c r="AO28" s="8">
        <f t="shared" si="6"/>
        <v>2.5348484848484847</v>
      </c>
      <c r="AP28" s="8">
        <f t="shared" si="7"/>
        <v>2.8846320346320344</v>
      </c>
    </row>
    <row r="29" spans="1:42" ht="16" x14ac:dyDescent="0.2">
      <c r="A29" s="6" t="s">
        <v>85</v>
      </c>
      <c r="B29" s="5">
        <v>4</v>
      </c>
      <c r="C29" s="5">
        <v>3</v>
      </c>
      <c r="D29" s="5">
        <v>3</v>
      </c>
      <c r="E29" s="5">
        <v>4</v>
      </c>
      <c r="F29" s="5">
        <v>4</v>
      </c>
      <c r="G29" s="7">
        <v>1.6666666666666667</v>
      </c>
      <c r="H29" s="7">
        <v>2.3333333333333335</v>
      </c>
      <c r="I29" s="7">
        <v>3.3333333333333335</v>
      </c>
      <c r="J29" s="7">
        <v>2.6666666666666665</v>
      </c>
      <c r="K29" s="7">
        <v>3</v>
      </c>
      <c r="L29" s="7">
        <v>3.3333333333333335</v>
      </c>
      <c r="M29" s="7">
        <v>3</v>
      </c>
      <c r="N29" s="7">
        <v>3.6666666666666665</v>
      </c>
      <c r="O29" s="12">
        <v>2</v>
      </c>
      <c r="P29" s="7">
        <v>3.3333333333333335</v>
      </c>
      <c r="Q29" s="7">
        <v>2.6666666666666665</v>
      </c>
      <c r="R29" s="7">
        <v>1.5</v>
      </c>
      <c r="S29" s="7">
        <v>1.8461538461538463</v>
      </c>
      <c r="T29" s="7">
        <v>1.6</v>
      </c>
      <c r="U29" s="8">
        <f t="shared" si="0"/>
        <v>2.7619047619047619</v>
      </c>
      <c r="V29" s="8">
        <f t="shared" si="1"/>
        <v>2.9166666666666665</v>
      </c>
      <c r="W29" s="8">
        <f t="shared" si="2"/>
        <v>1.6487179487179489</v>
      </c>
      <c r="X29" s="8">
        <f t="shared" si="3"/>
        <v>2.4424297924297926</v>
      </c>
      <c r="Y29" s="9">
        <v>3.5</v>
      </c>
      <c r="Z29" s="7">
        <v>3.5</v>
      </c>
      <c r="AA29" s="7">
        <v>3.75</v>
      </c>
      <c r="AB29" s="7">
        <v>3.25</v>
      </c>
      <c r="AC29" s="7">
        <v>3.75</v>
      </c>
      <c r="AD29" s="7">
        <v>3.75</v>
      </c>
      <c r="AE29" s="7">
        <v>3.75</v>
      </c>
      <c r="AF29" s="10">
        <v>3.75</v>
      </c>
      <c r="AG29" s="12">
        <v>3.75</v>
      </c>
      <c r="AH29" s="10">
        <v>3.5</v>
      </c>
      <c r="AI29" s="10">
        <v>3.5</v>
      </c>
      <c r="AJ29" s="11">
        <v>2.9090909090909092</v>
      </c>
      <c r="AK29" s="11">
        <v>3</v>
      </c>
      <c r="AL29" s="11">
        <v>3</v>
      </c>
      <c r="AM29" s="8">
        <f t="shared" si="4"/>
        <v>3.6071428571428572</v>
      </c>
      <c r="AN29" s="8">
        <f t="shared" si="5"/>
        <v>3.625</v>
      </c>
      <c r="AO29" s="8">
        <f t="shared" si="6"/>
        <v>2.9696969696969702</v>
      </c>
      <c r="AP29" s="8">
        <f t="shared" si="7"/>
        <v>3.4006132756132761</v>
      </c>
    </row>
    <row r="30" spans="1:42" ht="16" x14ac:dyDescent="0.2">
      <c r="A30" s="6" t="s">
        <v>86</v>
      </c>
      <c r="B30" s="5">
        <v>3</v>
      </c>
      <c r="C30" s="5">
        <v>3</v>
      </c>
      <c r="D30" s="5">
        <v>4</v>
      </c>
      <c r="E30" s="5">
        <v>4</v>
      </c>
      <c r="F30" s="5">
        <v>4</v>
      </c>
      <c r="G30" s="7">
        <v>1.6666666666666667</v>
      </c>
      <c r="H30" s="7">
        <v>2.6666666666666665</v>
      </c>
      <c r="I30" s="7">
        <v>2.6666666666666665</v>
      </c>
      <c r="J30" s="7">
        <v>2.3333333333333335</v>
      </c>
      <c r="K30" s="7">
        <v>3</v>
      </c>
      <c r="L30" s="12">
        <v>2.67</v>
      </c>
      <c r="M30" s="7">
        <v>2.3333333333333335</v>
      </c>
      <c r="N30" s="7">
        <v>2.3333333333333335</v>
      </c>
      <c r="O30" s="7">
        <v>2</v>
      </c>
      <c r="P30" s="7">
        <v>1.6666666666666667</v>
      </c>
      <c r="Q30" s="7">
        <v>2.3333333333333335</v>
      </c>
      <c r="R30" s="7">
        <v>1.7272727272727273</v>
      </c>
      <c r="S30" s="7">
        <v>2.9230769230769229</v>
      </c>
      <c r="T30" s="7">
        <v>1.6</v>
      </c>
      <c r="U30" s="8">
        <f t="shared" si="0"/>
        <v>2.4766666666666666</v>
      </c>
      <c r="V30" s="8">
        <f t="shared" si="1"/>
        <v>2.0833333333333335</v>
      </c>
      <c r="W30" s="8">
        <f t="shared" si="2"/>
        <v>2.0834498834498834</v>
      </c>
      <c r="X30" s="8">
        <f t="shared" si="3"/>
        <v>2.2144832944832946</v>
      </c>
      <c r="Y30" s="9">
        <v>3</v>
      </c>
      <c r="Z30" s="7">
        <v>3</v>
      </c>
      <c r="AA30" s="7">
        <v>3.3333333333333335</v>
      </c>
      <c r="AB30" s="7">
        <v>3.3333333333333335</v>
      </c>
      <c r="AC30" s="7">
        <v>3</v>
      </c>
      <c r="AD30" s="12">
        <v>3.3333333333333335</v>
      </c>
      <c r="AE30" s="7">
        <v>3</v>
      </c>
      <c r="AF30" s="10">
        <v>3.3333333333333335</v>
      </c>
      <c r="AG30" s="10">
        <v>3.3333333333333335</v>
      </c>
      <c r="AH30" s="10">
        <v>3</v>
      </c>
      <c r="AI30" s="10">
        <v>2.6666666666666665</v>
      </c>
      <c r="AJ30" s="11">
        <v>2.8636363636363638</v>
      </c>
      <c r="AK30" s="11">
        <v>3</v>
      </c>
      <c r="AL30" s="11">
        <v>2.4</v>
      </c>
      <c r="AM30" s="8">
        <f t="shared" si="4"/>
        <v>3.1428571428571428</v>
      </c>
      <c r="AN30" s="8">
        <f t="shared" si="5"/>
        <v>3.0833333333333335</v>
      </c>
      <c r="AO30" s="8">
        <f t="shared" si="6"/>
        <v>2.7545454545454544</v>
      </c>
      <c r="AP30" s="8">
        <f t="shared" si="7"/>
        <v>2.9935786435786436</v>
      </c>
    </row>
    <row r="31" spans="1:42" ht="16" x14ac:dyDescent="0.2">
      <c r="A31" s="6" t="s">
        <v>87</v>
      </c>
      <c r="B31" s="5">
        <v>3</v>
      </c>
      <c r="C31" s="5">
        <v>3</v>
      </c>
      <c r="D31" s="5">
        <v>3</v>
      </c>
      <c r="E31" s="5">
        <v>4</v>
      </c>
      <c r="F31" s="5">
        <v>4</v>
      </c>
      <c r="G31" s="7">
        <v>3.3333333333333335</v>
      </c>
      <c r="H31" s="7">
        <v>3.6666666666666665</v>
      </c>
      <c r="I31" s="7">
        <v>3.6666666666666665</v>
      </c>
      <c r="J31" s="7">
        <v>3</v>
      </c>
      <c r="K31" s="7">
        <v>3</v>
      </c>
      <c r="L31" s="7">
        <v>3.3333333333333335</v>
      </c>
      <c r="M31" s="7">
        <v>3</v>
      </c>
      <c r="N31" s="7">
        <v>2.6666666666666665</v>
      </c>
      <c r="O31" s="7">
        <v>3.3333333333333335</v>
      </c>
      <c r="P31" s="7">
        <v>3</v>
      </c>
      <c r="Q31" s="7">
        <v>2.3333333333333335</v>
      </c>
      <c r="R31" s="7">
        <v>2.7272727272727271</v>
      </c>
      <c r="S31" s="12">
        <v>1.69</v>
      </c>
      <c r="T31" s="7">
        <v>2.8</v>
      </c>
      <c r="U31" s="8">
        <f t="shared" si="0"/>
        <v>3.2857142857142851</v>
      </c>
      <c r="V31" s="8">
        <f t="shared" si="1"/>
        <v>2.8333333333333335</v>
      </c>
      <c r="W31" s="8">
        <f t="shared" si="2"/>
        <v>2.4057575757575758</v>
      </c>
      <c r="X31" s="8">
        <f t="shared" si="3"/>
        <v>2.8416017316017315</v>
      </c>
      <c r="Y31" s="9">
        <v>3.6666666666666665</v>
      </c>
      <c r="Z31" s="7">
        <v>4</v>
      </c>
      <c r="AA31" s="7">
        <v>3.6666666666666665</v>
      </c>
      <c r="AB31" s="7">
        <v>4</v>
      </c>
      <c r="AC31" s="7">
        <v>3.6666666666666665</v>
      </c>
      <c r="AD31" s="7">
        <v>4</v>
      </c>
      <c r="AE31" s="7">
        <v>3.6666666666666665</v>
      </c>
      <c r="AF31" s="10">
        <v>3.6666666666666665</v>
      </c>
      <c r="AG31" s="10">
        <v>3.3333333333333335</v>
      </c>
      <c r="AH31" s="10">
        <v>3.6666666666666665</v>
      </c>
      <c r="AI31" s="10">
        <v>3.6666666666666665</v>
      </c>
      <c r="AJ31" s="11">
        <v>3</v>
      </c>
      <c r="AK31" s="14">
        <v>2.85</v>
      </c>
      <c r="AL31" s="11">
        <v>3</v>
      </c>
      <c r="AM31" s="8">
        <f t="shared" si="4"/>
        <v>3.8095238095238098</v>
      </c>
      <c r="AN31" s="8">
        <f t="shared" si="5"/>
        <v>3.583333333333333</v>
      </c>
      <c r="AO31" s="8">
        <f t="shared" si="6"/>
        <v>2.9499999999999997</v>
      </c>
      <c r="AP31" s="8">
        <f t="shared" si="7"/>
        <v>3.4476190476190474</v>
      </c>
    </row>
    <row r="32" spans="1:42" ht="16" x14ac:dyDescent="0.2">
      <c r="A32" s="6" t="s">
        <v>88</v>
      </c>
      <c r="B32" s="5">
        <v>3</v>
      </c>
      <c r="C32" s="5">
        <v>3</v>
      </c>
      <c r="D32" s="5">
        <v>3</v>
      </c>
      <c r="E32" s="5">
        <v>4</v>
      </c>
      <c r="F32" s="5">
        <v>4</v>
      </c>
      <c r="G32" s="7">
        <v>3.3333333333333335</v>
      </c>
      <c r="H32" s="12">
        <v>2.33</v>
      </c>
      <c r="I32" s="7">
        <v>3.6666666666666665</v>
      </c>
      <c r="J32" s="7">
        <v>3</v>
      </c>
      <c r="K32" s="7">
        <v>3.3333333333333335</v>
      </c>
      <c r="L32" s="7">
        <v>3.6666666666666665</v>
      </c>
      <c r="M32" s="7">
        <v>2.3333333333333335</v>
      </c>
      <c r="N32" s="7">
        <v>3.6666666666666665</v>
      </c>
      <c r="O32" s="7">
        <v>3.6666666666666665</v>
      </c>
      <c r="P32" s="7">
        <v>3.3333333333333335</v>
      </c>
      <c r="Q32" s="7">
        <v>2.6666666666666665</v>
      </c>
      <c r="R32" s="12">
        <v>1.2</v>
      </c>
      <c r="S32" s="7">
        <v>2.9230769230769229</v>
      </c>
      <c r="T32" s="12">
        <v>1.6</v>
      </c>
      <c r="U32" s="8">
        <f t="shared" si="0"/>
        <v>3.094761904761905</v>
      </c>
      <c r="V32" s="8">
        <f t="shared" si="1"/>
        <v>3.333333333333333</v>
      </c>
      <c r="W32" s="8">
        <f t="shared" si="2"/>
        <v>1.9076923076923074</v>
      </c>
      <c r="X32" s="8">
        <f t="shared" si="3"/>
        <v>2.7785958485958488</v>
      </c>
      <c r="Y32" s="9">
        <v>3.6666666666666665</v>
      </c>
      <c r="Z32" s="12">
        <v>4</v>
      </c>
      <c r="AA32" s="7">
        <v>4</v>
      </c>
      <c r="AB32" s="7">
        <v>3.6666666666666665</v>
      </c>
      <c r="AC32" s="7">
        <v>4</v>
      </c>
      <c r="AD32" s="7">
        <v>4</v>
      </c>
      <c r="AE32" s="7">
        <v>4</v>
      </c>
      <c r="AF32" s="10">
        <v>3.6666666666666665</v>
      </c>
      <c r="AG32" s="10">
        <v>4</v>
      </c>
      <c r="AH32" s="10">
        <v>3.6666666666666665</v>
      </c>
      <c r="AI32" s="10">
        <v>3.3333333333333335</v>
      </c>
      <c r="AJ32" s="14">
        <v>2.86</v>
      </c>
      <c r="AK32" s="11">
        <v>3</v>
      </c>
      <c r="AL32" s="14">
        <v>3</v>
      </c>
      <c r="AM32" s="8">
        <f t="shared" si="4"/>
        <v>3.9047619047619047</v>
      </c>
      <c r="AN32" s="8">
        <f t="shared" si="5"/>
        <v>3.6666666666666665</v>
      </c>
      <c r="AO32" s="8">
        <f t="shared" si="6"/>
        <v>2.9533333333333331</v>
      </c>
      <c r="AP32" s="8">
        <f t="shared" si="7"/>
        <v>3.508253968253968</v>
      </c>
    </row>
    <row r="33" spans="1:42" ht="16" x14ac:dyDescent="0.2">
      <c r="A33" s="6" t="s">
        <v>89</v>
      </c>
      <c r="B33" s="5">
        <v>4</v>
      </c>
      <c r="C33" s="5">
        <v>4</v>
      </c>
      <c r="D33" s="5">
        <v>3</v>
      </c>
      <c r="E33" s="5">
        <v>4</v>
      </c>
      <c r="F33" s="5">
        <v>4</v>
      </c>
      <c r="G33" s="7">
        <v>1</v>
      </c>
      <c r="H33" s="7">
        <v>2</v>
      </c>
      <c r="I33" s="7">
        <v>1</v>
      </c>
      <c r="J33" s="7">
        <v>1.5</v>
      </c>
      <c r="K33" s="7">
        <v>1</v>
      </c>
      <c r="L33" s="7">
        <v>1.5</v>
      </c>
      <c r="M33" s="7">
        <v>1</v>
      </c>
      <c r="N33" s="7">
        <v>2.5</v>
      </c>
      <c r="O33" s="7">
        <v>2.5</v>
      </c>
      <c r="P33" s="7">
        <v>1.5</v>
      </c>
      <c r="Q33" s="7">
        <v>1</v>
      </c>
      <c r="R33" s="7">
        <v>2</v>
      </c>
      <c r="S33" s="7">
        <v>2</v>
      </c>
      <c r="T33" s="7">
        <v>2</v>
      </c>
      <c r="U33" s="8">
        <f t="shared" si="0"/>
        <v>1.2857142857142858</v>
      </c>
      <c r="V33" s="8">
        <f t="shared" si="1"/>
        <v>1.875</v>
      </c>
      <c r="W33" s="8">
        <f t="shared" si="2"/>
        <v>2</v>
      </c>
      <c r="X33" s="8">
        <f t="shared" si="3"/>
        <v>1.7202380952380951</v>
      </c>
      <c r="Y33" s="9">
        <v>3.3333333333333335</v>
      </c>
      <c r="Z33" s="7">
        <v>3.6666666666666665</v>
      </c>
      <c r="AA33" s="7">
        <v>3.3333333333333335</v>
      </c>
      <c r="AB33" s="7">
        <v>3</v>
      </c>
      <c r="AC33" s="7">
        <v>3.3333333333333335</v>
      </c>
      <c r="AD33" s="7">
        <v>4</v>
      </c>
      <c r="AE33" s="7">
        <v>3.6666666666666665</v>
      </c>
      <c r="AF33" s="10">
        <v>3</v>
      </c>
      <c r="AG33" s="10">
        <v>3</v>
      </c>
      <c r="AH33" s="10">
        <v>2.6666666666666665</v>
      </c>
      <c r="AI33" s="10">
        <v>2.6666666666666665</v>
      </c>
      <c r="AJ33" s="11">
        <v>2</v>
      </c>
      <c r="AK33" s="11">
        <v>2</v>
      </c>
      <c r="AL33" s="11">
        <v>2</v>
      </c>
      <c r="AM33" s="8">
        <f t="shared" si="4"/>
        <v>3.4761904761904767</v>
      </c>
      <c r="AN33" s="8">
        <f t="shared" si="5"/>
        <v>2.833333333333333</v>
      </c>
      <c r="AO33" s="8">
        <f t="shared" si="6"/>
        <v>2</v>
      </c>
      <c r="AP33" s="8">
        <f t="shared" si="7"/>
        <v>2.7698412698412702</v>
      </c>
    </row>
    <row r="34" spans="1:42" ht="16" x14ac:dyDescent="0.2">
      <c r="A34" s="6" t="s">
        <v>90</v>
      </c>
      <c r="B34" s="5">
        <v>4</v>
      </c>
      <c r="C34" s="5">
        <v>3</v>
      </c>
      <c r="D34" s="5">
        <v>3</v>
      </c>
      <c r="E34" s="5">
        <v>4</v>
      </c>
      <c r="F34" s="5">
        <v>4</v>
      </c>
      <c r="G34" s="7">
        <v>2</v>
      </c>
      <c r="H34" s="7">
        <v>2.5</v>
      </c>
      <c r="I34" s="7">
        <v>1.5</v>
      </c>
      <c r="J34" s="7">
        <v>2.5</v>
      </c>
      <c r="K34" s="7">
        <v>2</v>
      </c>
      <c r="L34" s="7">
        <v>2.5</v>
      </c>
      <c r="M34" s="7">
        <v>2</v>
      </c>
      <c r="N34" s="12">
        <v>2</v>
      </c>
      <c r="O34" s="12">
        <v>2</v>
      </c>
      <c r="P34" s="7">
        <v>1.5</v>
      </c>
      <c r="Q34" s="7">
        <v>1.5</v>
      </c>
      <c r="R34" s="7">
        <v>1.6818181818181819</v>
      </c>
      <c r="S34" s="7">
        <v>1.3846153846153846</v>
      </c>
      <c r="T34" s="7">
        <v>1.8</v>
      </c>
      <c r="U34" s="8">
        <f t="shared" ref="U34:U65" si="8">IF(COUNTA(G34:M34)=0,"",AVERAGE(G34:M34))</f>
        <v>2.1428571428571428</v>
      </c>
      <c r="V34" s="8">
        <f t="shared" ref="V34:V65" si="9">IF(COUNTA(N34:Q34)=0,"",AVERAGE(N34:Q34))</f>
        <v>1.75</v>
      </c>
      <c r="W34" s="8">
        <f t="shared" ref="W34:W65" si="10">IF(COUNTA(R34:T34)=0,"",AVERAGE(R34:T34))</f>
        <v>1.6221445221445221</v>
      </c>
      <c r="X34" s="8">
        <f t="shared" ref="X34:X65" si="11">IF(COUNTA(U34,V34,W34)=0,"",AVERAGE(U34,V34,W34))</f>
        <v>1.8383338883338884</v>
      </c>
      <c r="Y34" s="9">
        <v>2.5</v>
      </c>
      <c r="Z34" s="7">
        <v>4</v>
      </c>
      <c r="AA34" s="7">
        <v>2.5</v>
      </c>
      <c r="AB34" s="7">
        <v>2.5</v>
      </c>
      <c r="AC34" s="7">
        <v>2.5</v>
      </c>
      <c r="AD34" s="7">
        <v>4</v>
      </c>
      <c r="AE34" s="7">
        <v>2</v>
      </c>
      <c r="AF34" s="12">
        <v>3.5</v>
      </c>
      <c r="AG34" s="12">
        <v>3.5</v>
      </c>
      <c r="AH34" s="10">
        <v>1.5</v>
      </c>
      <c r="AI34" s="10">
        <v>1.5</v>
      </c>
      <c r="AJ34" s="11">
        <v>2.5454545454545454</v>
      </c>
      <c r="AK34" s="11">
        <v>2.5384615384615383</v>
      </c>
      <c r="AL34" s="11">
        <v>2.8</v>
      </c>
      <c r="AM34" s="8">
        <f t="shared" ref="AM34:AM65" si="12">IF(COUNTA(Y34:AE34)=0,"",AVERAGE(Y34:AE34))</f>
        <v>2.8571428571428572</v>
      </c>
      <c r="AN34" s="8">
        <f t="shared" ref="AN34:AN65" si="13">IF(COUNTA(AF34:AI34)=0,"",AVERAGE(AF34:AI34))</f>
        <v>2.5</v>
      </c>
      <c r="AO34" s="8">
        <f t="shared" ref="AO34:AO65" si="14">IF(COUNTA(AJ34:AL34)=0,"",AVERAGE(AJ34:AL34))</f>
        <v>2.6279720279720276</v>
      </c>
      <c r="AP34" s="8">
        <f t="shared" ref="AP34:AP65" si="15">IF(COUNTA(AM34,AN34,AO34)=0,"",AVERAGE(AM34,AN34,AO34))</f>
        <v>2.6617049617049617</v>
      </c>
    </row>
    <row r="35" spans="1:42" ht="16" x14ac:dyDescent="0.2">
      <c r="A35" s="6" t="s">
        <v>91</v>
      </c>
      <c r="B35" s="5">
        <v>4</v>
      </c>
      <c r="C35" s="5">
        <v>4</v>
      </c>
      <c r="D35" s="5">
        <v>3</v>
      </c>
      <c r="E35" s="5">
        <v>4</v>
      </c>
      <c r="F35" s="5">
        <v>4</v>
      </c>
      <c r="G35" s="7">
        <v>2.3333333333333335</v>
      </c>
      <c r="H35" s="7">
        <v>3</v>
      </c>
      <c r="I35" s="7">
        <v>3</v>
      </c>
      <c r="J35" s="7">
        <v>2.3333333333333335</v>
      </c>
      <c r="K35" s="7">
        <v>2.3333333333333335</v>
      </c>
      <c r="L35" s="7">
        <v>3</v>
      </c>
      <c r="M35" s="7">
        <v>2.3333333333333335</v>
      </c>
      <c r="N35" s="7">
        <v>2.6666666666666665</v>
      </c>
      <c r="O35" s="7">
        <v>3.3333333333333335</v>
      </c>
      <c r="P35" s="7">
        <v>3</v>
      </c>
      <c r="Q35" s="7">
        <v>2.3333333333333335</v>
      </c>
      <c r="R35" s="12">
        <v>1.2</v>
      </c>
      <c r="S35" s="12">
        <v>1</v>
      </c>
      <c r="T35" s="12">
        <v>1</v>
      </c>
      <c r="U35" s="8">
        <f t="shared" si="8"/>
        <v>2.6190476190476191</v>
      </c>
      <c r="V35" s="8">
        <f t="shared" si="9"/>
        <v>2.8333333333333335</v>
      </c>
      <c r="W35" s="8">
        <f t="shared" si="10"/>
        <v>1.0666666666666667</v>
      </c>
      <c r="X35" s="8">
        <f t="shared" si="11"/>
        <v>2.1730158730158728</v>
      </c>
      <c r="Y35" s="9">
        <v>4</v>
      </c>
      <c r="Z35" s="7">
        <v>3.5</v>
      </c>
      <c r="AA35" s="7">
        <v>3.5</v>
      </c>
      <c r="AB35" s="7">
        <v>3.5</v>
      </c>
      <c r="AC35" s="7">
        <v>3.5</v>
      </c>
      <c r="AD35" s="7">
        <v>3.5</v>
      </c>
      <c r="AE35" s="7">
        <v>3.5</v>
      </c>
      <c r="AF35" s="10">
        <v>3.5</v>
      </c>
      <c r="AG35" s="10">
        <v>4</v>
      </c>
      <c r="AH35" s="10">
        <v>3</v>
      </c>
      <c r="AI35" s="10">
        <v>3</v>
      </c>
      <c r="AJ35" s="14">
        <v>2.4545454545454546</v>
      </c>
      <c r="AK35" s="14">
        <v>2.6153846153846154</v>
      </c>
      <c r="AL35" s="14">
        <v>2.85</v>
      </c>
      <c r="AM35" s="8">
        <f t="shared" si="12"/>
        <v>3.5714285714285716</v>
      </c>
      <c r="AN35" s="8">
        <f t="shared" si="13"/>
        <v>3.375</v>
      </c>
      <c r="AO35" s="8">
        <f t="shared" si="14"/>
        <v>2.6399766899766899</v>
      </c>
      <c r="AP35" s="8">
        <f t="shared" si="15"/>
        <v>3.1954684204684205</v>
      </c>
    </row>
    <row r="36" spans="1:42" ht="16" x14ac:dyDescent="0.2">
      <c r="A36" s="6" t="s">
        <v>92</v>
      </c>
      <c r="B36" s="5">
        <v>4</v>
      </c>
      <c r="C36" s="5">
        <v>3</v>
      </c>
      <c r="D36" s="5">
        <v>4</v>
      </c>
      <c r="E36" s="5">
        <v>4</v>
      </c>
      <c r="F36" s="5">
        <v>4</v>
      </c>
      <c r="G36" s="7">
        <v>2.3333333333333335</v>
      </c>
      <c r="H36" s="7">
        <v>2.3333333333333335</v>
      </c>
      <c r="I36" s="12">
        <v>1.67</v>
      </c>
      <c r="J36" s="7">
        <v>3</v>
      </c>
      <c r="K36" s="7">
        <v>2.6666666666666665</v>
      </c>
      <c r="L36" s="12">
        <v>2.5</v>
      </c>
      <c r="M36" s="7">
        <v>2.3333333333333335</v>
      </c>
      <c r="N36" s="12">
        <v>2</v>
      </c>
      <c r="O36" s="12">
        <v>2</v>
      </c>
      <c r="P36" s="12">
        <v>2</v>
      </c>
      <c r="Q36" s="12">
        <v>1.67</v>
      </c>
      <c r="R36" s="7">
        <v>2</v>
      </c>
      <c r="S36" s="7">
        <v>2.3846153846153846</v>
      </c>
      <c r="T36" s="7">
        <v>2.2000000000000002</v>
      </c>
      <c r="U36" s="8">
        <f t="shared" si="8"/>
        <v>2.405238095238095</v>
      </c>
      <c r="V36" s="8">
        <f t="shared" si="9"/>
        <v>1.9175</v>
      </c>
      <c r="W36" s="8">
        <f t="shared" si="10"/>
        <v>2.1948717948717951</v>
      </c>
      <c r="X36" s="8">
        <f t="shared" si="11"/>
        <v>2.17253663003663</v>
      </c>
      <c r="Y36" s="9">
        <v>3</v>
      </c>
      <c r="Z36" s="7">
        <v>3.3333333333333335</v>
      </c>
      <c r="AA36" s="12">
        <v>3</v>
      </c>
      <c r="AB36" s="7">
        <v>3</v>
      </c>
      <c r="AC36" s="7">
        <v>3</v>
      </c>
      <c r="AD36" s="12">
        <v>3.67</v>
      </c>
      <c r="AE36" s="7">
        <v>2.3333333333333335</v>
      </c>
      <c r="AF36" s="12">
        <v>3.33</v>
      </c>
      <c r="AG36" s="12">
        <v>3.67</v>
      </c>
      <c r="AH36" s="12">
        <v>3.67</v>
      </c>
      <c r="AI36" s="12">
        <v>3.33</v>
      </c>
      <c r="AJ36" s="11">
        <v>3</v>
      </c>
      <c r="AK36" s="11">
        <v>3</v>
      </c>
      <c r="AL36" s="11">
        <v>3</v>
      </c>
      <c r="AM36" s="8">
        <f t="shared" si="12"/>
        <v>3.0480952380952382</v>
      </c>
      <c r="AN36" s="8">
        <f t="shared" si="13"/>
        <v>3.5</v>
      </c>
      <c r="AO36" s="8">
        <f t="shared" si="14"/>
        <v>3</v>
      </c>
      <c r="AP36" s="8">
        <f t="shared" si="15"/>
        <v>3.1826984126984126</v>
      </c>
    </row>
    <row r="37" spans="1:42" ht="16" x14ac:dyDescent="0.2">
      <c r="A37" s="6" t="s">
        <v>93</v>
      </c>
      <c r="B37" s="5">
        <v>4</v>
      </c>
      <c r="C37" s="5">
        <v>4</v>
      </c>
      <c r="D37" s="5">
        <v>3</v>
      </c>
      <c r="E37" s="5">
        <v>4</v>
      </c>
      <c r="F37" s="5">
        <v>4</v>
      </c>
      <c r="G37" s="7">
        <v>2.3333333333333335</v>
      </c>
      <c r="H37" s="7">
        <v>2.6666666666666665</v>
      </c>
      <c r="I37" s="12">
        <v>1.33</v>
      </c>
      <c r="J37" s="7">
        <v>2.3333333333333335</v>
      </c>
      <c r="K37" s="7">
        <v>2.6666666666666665</v>
      </c>
      <c r="L37" s="7">
        <v>3.6666666666666665</v>
      </c>
      <c r="M37" s="7">
        <v>2.3333333333333335</v>
      </c>
      <c r="N37" s="7">
        <v>3</v>
      </c>
      <c r="O37" s="12">
        <v>2</v>
      </c>
      <c r="P37" s="12">
        <v>2</v>
      </c>
      <c r="Q37" s="7">
        <v>2.3333333333333335</v>
      </c>
      <c r="R37" s="7">
        <v>1.7272727272727273</v>
      </c>
      <c r="S37" s="7">
        <v>1.9230769230769231</v>
      </c>
      <c r="T37" s="7">
        <v>1.8</v>
      </c>
      <c r="U37" s="8">
        <f t="shared" si="8"/>
        <v>2.4757142857142855</v>
      </c>
      <c r="V37" s="8">
        <f t="shared" si="9"/>
        <v>2.3333333333333335</v>
      </c>
      <c r="W37" s="8">
        <f t="shared" si="10"/>
        <v>1.816783216783217</v>
      </c>
      <c r="X37" s="8">
        <f t="shared" si="11"/>
        <v>2.2086102786102786</v>
      </c>
      <c r="Y37" s="9">
        <v>3.6666666666666665</v>
      </c>
      <c r="Z37" s="7">
        <v>3</v>
      </c>
      <c r="AA37" s="12">
        <v>3</v>
      </c>
      <c r="AB37" s="7">
        <v>2.6666666666666665</v>
      </c>
      <c r="AC37" s="7">
        <v>3.3333333333333335</v>
      </c>
      <c r="AD37" s="7">
        <v>3.6666666666666665</v>
      </c>
      <c r="AE37" s="7">
        <v>2.6666666666666665</v>
      </c>
      <c r="AF37" s="10">
        <v>3.6666666666666665</v>
      </c>
      <c r="AG37" s="12">
        <v>3.75</v>
      </c>
      <c r="AH37" s="12">
        <v>3.75</v>
      </c>
      <c r="AI37" s="10">
        <v>3.3333333333333335</v>
      </c>
      <c r="AJ37" s="11">
        <v>3</v>
      </c>
      <c r="AK37" s="11">
        <v>3</v>
      </c>
      <c r="AL37" s="11">
        <v>3</v>
      </c>
      <c r="AM37" s="8">
        <f t="shared" si="12"/>
        <v>3.1428571428571428</v>
      </c>
      <c r="AN37" s="8">
        <f t="shared" si="13"/>
        <v>3.625</v>
      </c>
      <c r="AO37" s="8">
        <f t="shared" si="14"/>
        <v>3</v>
      </c>
      <c r="AP37" s="8">
        <f t="shared" si="15"/>
        <v>3.2559523809523809</v>
      </c>
    </row>
    <row r="38" spans="1:42" ht="16" x14ac:dyDescent="0.2">
      <c r="A38" s="6" t="s">
        <v>94</v>
      </c>
      <c r="B38" s="5">
        <v>3</v>
      </c>
      <c r="C38" s="5">
        <v>3</v>
      </c>
      <c r="D38" s="5">
        <v>3</v>
      </c>
      <c r="E38" s="5">
        <v>4</v>
      </c>
      <c r="F38" s="5">
        <v>4</v>
      </c>
      <c r="G38" s="12">
        <v>2</v>
      </c>
      <c r="H38" s="7">
        <v>2.5</v>
      </c>
      <c r="I38" s="7">
        <v>3</v>
      </c>
      <c r="J38" s="7">
        <v>2</v>
      </c>
      <c r="K38" s="7">
        <v>2.5</v>
      </c>
      <c r="L38" s="7">
        <v>3</v>
      </c>
      <c r="M38" s="7">
        <v>2</v>
      </c>
      <c r="N38" s="7">
        <v>2</v>
      </c>
      <c r="O38" s="7">
        <v>2.5</v>
      </c>
      <c r="P38" s="7">
        <v>1.5</v>
      </c>
      <c r="Q38" s="7">
        <v>1</v>
      </c>
      <c r="R38" s="7">
        <v>1.9090909090909092</v>
      </c>
      <c r="S38" s="7">
        <v>2</v>
      </c>
      <c r="T38" s="7">
        <v>2</v>
      </c>
      <c r="U38" s="8">
        <f t="shared" si="8"/>
        <v>2.4285714285714284</v>
      </c>
      <c r="V38" s="8">
        <f t="shared" si="9"/>
        <v>1.75</v>
      </c>
      <c r="W38" s="8">
        <f t="shared" si="10"/>
        <v>1.9696969696969697</v>
      </c>
      <c r="X38" s="8">
        <f t="shared" si="11"/>
        <v>2.0494227994227994</v>
      </c>
      <c r="Y38" s="13">
        <v>3</v>
      </c>
      <c r="Z38" s="7">
        <v>3.3333333333333335</v>
      </c>
      <c r="AA38" s="7">
        <v>3.6666666666666665</v>
      </c>
      <c r="AB38" s="7">
        <v>2.6666666666666665</v>
      </c>
      <c r="AC38" s="7">
        <v>3</v>
      </c>
      <c r="AD38" s="7">
        <v>3</v>
      </c>
      <c r="AE38" s="7">
        <v>3</v>
      </c>
      <c r="AF38" s="10">
        <v>2.6666666666666665</v>
      </c>
      <c r="AG38" s="10">
        <v>3</v>
      </c>
      <c r="AH38" s="10">
        <v>3</v>
      </c>
      <c r="AI38" s="10">
        <v>2.3333333333333335</v>
      </c>
      <c r="AJ38" s="11">
        <v>2.4545454545454546</v>
      </c>
      <c r="AK38" s="11">
        <v>2.0769230769230771</v>
      </c>
      <c r="AL38" s="11">
        <v>2.2000000000000002</v>
      </c>
      <c r="AM38" s="8">
        <f t="shared" si="12"/>
        <v>3.0952380952380949</v>
      </c>
      <c r="AN38" s="8">
        <f t="shared" si="13"/>
        <v>2.75</v>
      </c>
      <c r="AO38" s="8">
        <f t="shared" si="14"/>
        <v>2.2438228438228438</v>
      </c>
      <c r="AP38" s="8">
        <f t="shared" si="15"/>
        <v>2.6963536463536464</v>
      </c>
    </row>
    <row r="39" spans="1:42" ht="16" x14ac:dyDescent="0.2">
      <c r="A39" s="6" t="s">
        <v>95</v>
      </c>
      <c r="B39" s="5">
        <v>3</v>
      </c>
      <c r="C39" s="5">
        <v>3</v>
      </c>
      <c r="D39" s="5">
        <v>3</v>
      </c>
      <c r="E39" s="5">
        <v>3</v>
      </c>
      <c r="F39" s="5">
        <v>4</v>
      </c>
      <c r="G39" s="7">
        <v>2.5</v>
      </c>
      <c r="H39" s="7">
        <v>2.5</v>
      </c>
      <c r="I39" s="7">
        <v>3.5</v>
      </c>
      <c r="J39" s="7">
        <v>2.5</v>
      </c>
      <c r="K39" s="7">
        <v>2.5</v>
      </c>
      <c r="L39" s="12">
        <v>2.5</v>
      </c>
      <c r="M39" s="7">
        <v>2.5</v>
      </c>
      <c r="N39" s="7">
        <v>3</v>
      </c>
      <c r="O39" s="7">
        <v>2.5</v>
      </c>
      <c r="P39" s="7">
        <v>3.5</v>
      </c>
      <c r="Q39" s="7">
        <v>3</v>
      </c>
      <c r="R39" s="7">
        <v>2.2272727272727271</v>
      </c>
      <c r="S39" s="7">
        <v>2.6923076923076925</v>
      </c>
      <c r="T39" s="7">
        <v>2.4</v>
      </c>
      <c r="U39" s="8">
        <f t="shared" si="8"/>
        <v>2.6428571428571428</v>
      </c>
      <c r="V39" s="8">
        <f t="shared" si="9"/>
        <v>3</v>
      </c>
      <c r="W39" s="8">
        <f t="shared" si="10"/>
        <v>2.4398601398601403</v>
      </c>
      <c r="X39" s="8">
        <f t="shared" si="11"/>
        <v>2.6942390942390944</v>
      </c>
      <c r="Y39" s="9">
        <v>3</v>
      </c>
      <c r="Z39" s="7">
        <v>3</v>
      </c>
      <c r="AA39" s="7">
        <v>3.67</v>
      </c>
      <c r="AB39" s="7">
        <v>3</v>
      </c>
      <c r="AC39" s="7">
        <v>3</v>
      </c>
      <c r="AD39" s="12">
        <v>3.95</v>
      </c>
      <c r="AE39" s="7">
        <v>3</v>
      </c>
      <c r="AF39" s="10">
        <v>3.33</v>
      </c>
      <c r="AG39" s="10">
        <v>3</v>
      </c>
      <c r="AH39" s="10">
        <v>3.67</v>
      </c>
      <c r="AI39" s="10">
        <v>3.33</v>
      </c>
      <c r="AJ39" s="11">
        <v>3</v>
      </c>
      <c r="AK39" s="11">
        <v>3</v>
      </c>
      <c r="AL39" s="11">
        <v>3</v>
      </c>
      <c r="AM39" s="8">
        <f t="shared" si="12"/>
        <v>3.2314285714285718</v>
      </c>
      <c r="AN39" s="8">
        <f t="shared" si="13"/>
        <v>3.3325</v>
      </c>
      <c r="AO39" s="8">
        <f t="shared" si="14"/>
        <v>3</v>
      </c>
      <c r="AP39" s="8">
        <f t="shared" si="15"/>
        <v>3.1879761904761907</v>
      </c>
    </row>
    <row r="40" spans="1:42" ht="16" x14ac:dyDescent="0.2">
      <c r="A40" s="6" t="s">
        <v>96</v>
      </c>
      <c r="B40" s="5">
        <v>4</v>
      </c>
      <c r="C40" s="5">
        <v>3</v>
      </c>
      <c r="D40" s="5">
        <v>4</v>
      </c>
      <c r="E40" s="5">
        <v>4</v>
      </c>
      <c r="F40" s="5">
        <v>4</v>
      </c>
      <c r="G40" s="7">
        <v>2</v>
      </c>
      <c r="H40" s="7">
        <v>2.5</v>
      </c>
      <c r="I40" s="12">
        <v>1</v>
      </c>
      <c r="J40" s="7">
        <v>2</v>
      </c>
      <c r="K40" s="7">
        <v>2</v>
      </c>
      <c r="L40" s="12">
        <v>2</v>
      </c>
      <c r="M40" s="7">
        <v>2</v>
      </c>
      <c r="N40" s="12">
        <v>2</v>
      </c>
      <c r="O40" s="7">
        <v>1.5</v>
      </c>
      <c r="P40" s="12">
        <v>2</v>
      </c>
      <c r="Q40" s="7">
        <v>2.5</v>
      </c>
      <c r="R40" s="7">
        <v>2</v>
      </c>
      <c r="S40" s="7">
        <v>2</v>
      </c>
      <c r="T40" s="7">
        <v>2</v>
      </c>
      <c r="U40" s="8">
        <f t="shared" si="8"/>
        <v>1.9285714285714286</v>
      </c>
      <c r="V40" s="8">
        <f t="shared" si="9"/>
        <v>2</v>
      </c>
      <c r="W40" s="8">
        <f t="shared" si="10"/>
        <v>2</v>
      </c>
      <c r="X40" s="8">
        <f t="shared" si="11"/>
        <v>1.9761904761904763</v>
      </c>
      <c r="Y40" s="9">
        <v>2.5</v>
      </c>
      <c r="Z40" s="7">
        <v>3.75</v>
      </c>
      <c r="AA40" s="12">
        <v>3</v>
      </c>
      <c r="AB40" s="7">
        <v>3</v>
      </c>
      <c r="AC40" s="7">
        <v>2.75</v>
      </c>
      <c r="AD40" s="12">
        <v>3.5</v>
      </c>
      <c r="AE40" s="7">
        <v>2.5</v>
      </c>
      <c r="AF40" s="12">
        <v>3.5</v>
      </c>
      <c r="AG40" s="10">
        <v>3.25</v>
      </c>
      <c r="AH40" s="12">
        <v>3.75</v>
      </c>
      <c r="AI40" s="10">
        <v>2.5</v>
      </c>
      <c r="AJ40" s="11">
        <v>2.6818181818181817</v>
      </c>
      <c r="AK40" s="11">
        <v>3</v>
      </c>
      <c r="AL40" s="11">
        <v>3</v>
      </c>
      <c r="AM40" s="8">
        <f t="shared" si="12"/>
        <v>3</v>
      </c>
      <c r="AN40" s="8">
        <f t="shared" si="13"/>
        <v>3.25</v>
      </c>
      <c r="AO40" s="8">
        <f t="shared" si="14"/>
        <v>2.893939393939394</v>
      </c>
      <c r="AP40" s="8">
        <f t="shared" si="15"/>
        <v>3.047979797979798</v>
      </c>
    </row>
    <row r="41" spans="1:42" ht="16" x14ac:dyDescent="0.2">
      <c r="A41" s="6" t="s">
        <v>97</v>
      </c>
      <c r="B41" s="5">
        <v>4</v>
      </c>
      <c r="C41" s="5">
        <v>3</v>
      </c>
      <c r="D41" s="5">
        <v>3</v>
      </c>
      <c r="E41" s="5">
        <v>4</v>
      </c>
      <c r="F41" s="5">
        <v>4</v>
      </c>
      <c r="G41" s="7">
        <v>2</v>
      </c>
      <c r="H41" s="7">
        <v>2.6666666666666665</v>
      </c>
      <c r="I41" s="7">
        <v>2.3333333333333335</v>
      </c>
      <c r="J41" s="7">
        <v>2</v>
      </c>
      <c r="K41" s="7">
        <v>2</v>
      </c>
      <c r="L41" s="7">
        <v>2.6666666666666665</v>
      </c>
      <c r="M41" s="7">
        <v>2</v>
      </c>
      <c r="N41" s="7">
        <v>3</v>
      </c>
      <c r="O41" s="7">
        <v>2.6666666666666665</v>
      </c>
      <c r="P41" s="7">
        <v>2.6666666666666665</v>
      </c>
      <c r="Q41" s="7">
        <v>1.3333333333333333</v>
      </c>
      <c r="R41" s="7">
        <v>2.9545454545454546</v>
      </c>
      <c r="S41" s="7">
        <v>2.5384615384615383</v>
      </c>
      <c r="T41" s="7">
        <v>2.6</v>
      </c>
      <c r="U41" s="8">
        <f t="shared" si="8"/>
        <v>2.2380952380952381</v>
      </c>
      <c r="V41" s="8">
        <f t="shared" si="9"/>
        <v>2.4166666666666665</v>
      </c>
      <c r="W41" s="8">
        <f t="shared" si="10"/>
        <v>2.6976689976689978</v>
      </c>
      <c r="X41" s="8">
        <f t="shared" si="11"/>
        <v>2.4508103008103013</v>
      </c>
      <c r="Y41" s="9">
        <v>4</v>
      </c>
      <c r="Z41" s="7">
        <v>4</v>
      </c>
      <c r="AA41" s="7">
        <v>4</v>
      </c>
      <c r="AB41" s="7">
        <v>3.5</v>
      </c>
      <c r="AC41" s="7">
        <v>3.5</v>
      </c>
      <c r="AD41" s="7">
        <v>4</v>
      </c>
      <c r="AE41" s="7">
        <v>4</v>
      </c>
      <c r="AF41" s="10">
        <v>4</v>
      </c>
      <c r="AG41" s="10">
        <v>4</v>
      </c>
      <c r="AH41" s="10">
        <v>4</v>
      </c>
      <c r="AI41" s="10">
        <v>2.5</v>
      </c>
      <c r="AJ41" s="11">
        <v>2.9545454545454546</v>
      </c>
      <c r="AK41" s="11">
        <v>2.7692307692307692</v>
      </c>
      <c r="AL41" s="11">
        <v>2.6</v>
      </c>
      <c r="AM41" s="8">
        <f t="shared" si="12"/>
        <v>3.8571428571428572</v>
      </c>
      <c r="AN41" s="8">
        <f t="shared" si="13"/>
        <v>3.625</v>
      </c>
      <c r="AO41" s="8">
        <f t="shared" si="14"/>
        <v>2.7745920745920745</v>
      </c>
      <c r="AP41" s="8">
        <f t="shared" si="15"/>
        <v>3.418911643911644</v>
      </c>
    </row>
    <row r="42" spans="1:42" ht="16" x14ac:dyDescent="0.2">
      <c r="A42" s="6" t="s">
        <v>98</v>
      </c>
      <c r="B42" s="5">
        <v>4</v>
      </c>
      <c r="C42" s="5">
        <v>3</v>
      </c>
      <c r="D42" s="5">
        <v>3</v>
      </c>
      <c r="E42" s="5">
        <v>4</v>
      </c>
      <c r="F42" s="5">
        <v>4</v>
      </c>
      <c r="G42" s="7">
        <v>1.6666666666666667</v>
      </c>
      <c r="H42" s="7">
        <v>3</v>
      </c>
      <c r="I42" s="7">
        <v>2.6666666666666665</v>
      </c>
      <c r="J42" s="7">
        <v>2</v>
      </c>
      <c r="K42" s="7">
        <v>1.6666666666666667</v>
      </c>
      <c r="L42" s="7">
        <v>3</v>
      </c>
      <c r="M42" s="7">
        <v>1.6666666666666667</v>
      </c>
      <c r="N42" s="7">
        <v>3</v>
      </c>
      <c r="O42" s="7">
        <v>1.6666666666666667</v>
      </c>
      <c r="P42" s="7">
        <v>2.3333333333333335</v>
      </c>
      <c r="Q42" s="7">
        <v>1.3333333333333333</v>
      </c>
      <c r="R42" s="7">
        <v>2.0454545454545454</v>
      </c>
      <c r="S42" s="7">
        <v>2.2307692307692308</v>
      </c>
      <c r="T42" s="7">
        <v>2.2000000000000002</v>
      </c>
      <c r="U42" s="8">
        <f t="shared" si="8"/>
        <v>2.2380952380952381</v>
      </c>
      <c r="V42" s="8">
        <f t="shared" si="9"/>
        <v>2.0833333333333335</v>
      </c>
      <c r="W42" s="8">
        <f t="shared" si="10"/>
        <v>2.1587412587412591</v>
      </c>
      <c r="X42" s="8">
        <f t="shared" si="11"/>
        <v>2.1600566100566101</v>
      </c>
      <c r="Y42" s="9">
        <v>3.3333333333333335</v>
      </c>
      <c r="Z42" s="7">
        <v>3.6666666666666665</v>
      </c>
      <c r="AA42" s="7">
        <v>3.3333333333333335</v>
      </c>
      <c r="AB42" s="7">
        <v>3.6666666666666665</v>
      </c>
      <c r="AC42" s="7">
        <v>3.6666666666666665</v>
      </c>
      <c r="AD42" s="7">
        <v>3.6666666666666665</v>
      </c>
      <c r="AE42" s="7">
        <v>3</v>
      </c>
      <c r="AF42" s="10">
        <v>3.6666666666666665</v>
      </c>
      <c r="AG42" s="10">
        <v>3.3333333333333335</v>
      </c>
      <c r="AH42" s="10">
        <v>3</v>
      </c>
      <c r="AI42" s="10">
        <v>2.6666666666666665</v>
      </c>
      <c r="AJ42" s="11">
        <v>2.8181818181818183</v>
      </c>
      <c r="AK42" s="11">
        <v>3</v>
      </c>
      <c r="AL42" s="11">
        <v>2.2000000000000002</v>
      </c>
      <c r="AM42" s="8">
        <f t="shared" si="12"/>
        <v>3.4761904761904767</v>
      </c>
      <c r="AN42" s="8">
        <f t="shared" si="13"/>
        <v>3.1666666666666665</v>
      </c>
      <c r="AO42" s="8">
        <f t="shared" si="14"/>
        <v>2.6727272727272733</v>
      </c>
      <c r="AP42" s="8">
        <f t="shared" si="15"/>
        <v>3.1051948051948055</v>
      </c>
    </row>
    <row r="43" spans="1:42" ht="16" x14ac:dyDescent="0.2">
      <c r="A43" s="6" t="s">
        <v>99</v>
      </c>
      <c r="B43" s="5">
        <v>3</v>
      </c>
      <c r="C43" s="5">
        <v>3</v>
      </c>
      <c r="D43" s="5">
        <v>4</v>
      </c>
      <c r="E43" s="5">
        <v>4</v>
      </c>
      <c r="F43" s="5">
        <v>4</v>
      </c>
      <c r="G43" s="12">
        <v>2.3333333333333335</v>
      </c>
      <c r="H43" s="12">
        <v>2</v>
      </c>
      <c r="I43" s="12">
        <v>2.33</v>
      </c>
      <c r="J43" s="12">
        <v>1.33</v>
      </c>
      <c r="K43" s="7">
        <v>2</v>
      </c>
      <c r="L43" s="12">
        <v>2.33</v>
      </c>
      <c r="M43" s="7">
        <v>2</v>
      </c>
      <c r="N43" s="12">
        <v>2</v>
      </c>
      <c r="O43" s="7">
        <v>2</v>
      </c>
      <c r="P43" s="7">
        <v>1.6666666666666667</v>
      </c>
      <c r="Q43" s="7">
        <v>1.3333333333333333</v>
      </c>
      <c r="R43" s="7">
        <v>2.2727272727272729</v>
      </c>
      <c r="S43" s="7">
        <v>2.3846153846153846</v>
      </c>
      <c r="T43" s="7">
        <v>1.8</v>
      </c>
      <c r="U43" s="8">
        <f t="shared" si="8"/>
        <v>2.0461904761904761</v>
      </c>
      <c r="V43" s="8">
        <f t="shared" si="9"/>
        <v>1.75</v>
      </c>
      <c r="W43" s="8">
        <f t="shared" si="10"/>
        <v>2.1524475524475526</v>
      </c>
      <c r="X43" s="8">
        <f t="shared" si="11"/>
        <v>1.982879342879343</v>
      </c>
      <c r="Y43" s="13">
        <v>3</v>
      </c>
      <c r="Z43" s="12">
        <v>3.67</v>
      </c>
      <c r="AA43" s="12">
        <v>3.67</v>
      </c>
      <c r="AB43" s="12">
        <v>3.75</v>
      </c>
      <c r="AC43" s="7">
        <v>2</v>
      </c>
      <c r="AD43" s="12">
        <v>3.5</v>
      </c>
      <c r="AE43" s="7">
        <v>2</v>
      </c>
      <c r="AF43" s="12">
        <v>3.3333333333333335</v>
      </c>
      <c r="AG43" s="10">
        <v>2</v>
      </c>
      <c r="AH43" s="10">
        <v>2</v>
      </c>
      <c r="AI43" s="10">
        <v>2</v>
      </c>
      <c r="AJ43" s="11">
        <v>2.8636363636363638</v>
      </c>
      <c r="AK43" s="11">
        <v>2.7692307692307692</v>
      </c>
      <c r="AL43" s="11">
        <v>3</v>
      </c>
      <c r="AM43" s="8">
        <f t="shared" si="12"/>
        <v>3.0842857142857141</v>
      </c>
      <c r="AN43" s="8">
        <f t="shared" si="13"/>
        <v>2.3333333333333335</v>
      </c>
      <c r="AO43" s="8">
        <f t="shared" si="14"/>
        <v>2.8776223776223779</v>
      </c>
      <c r="AP43" s="8">
        <f t="shared" si="15"/>
        <v>2.7650804750804752</v>
      </c>
    </row>
    <row r="44" spans="1:42" ht="16" x14ac:dyDescent="0.2">
      <c r="A44" s="6" t="s">
        <v>100</v>
      </c>
      <c r="B44" s="5">
        <v>3</v>
      </c>
      <c r="C44" s="5">
        <v>4</v>
      </c>
      <c r="D44" s="5">
        <v>4</v>
      </c>
      <c r="E44" s="5">
        <v>4</v>
      </c>
      <c r="F44" s="5">
        <v>4</v>
      </c>
      <c r="G44" s="7">
        <v>1.3333333333333333</v>
      </c>
      <c r="H44" s="7">
        <v>2.6666666666666665</v>
      </c>
      <c r="I44" s="7">
        <v>3</v>
      </c>
      <c r="J44" s="7">
        <v>1.6666666666666667</v>
      </c>
      <c r="K44" s="7">
        <v>1.3333333333333333</v>
      </c>
      <c r="L44" s="12">
        <v>2.67</v>
      </c>
      <c r="M44" s="7">
        <v>1.3333333333333333</v>
      </c>
      <c r="N44" s="12">
        <v>2.5</v>
      </c>
      <c r="O44" s="7">
        <v>1.3333333333333333</v>
      </c>
      <c r="P44" s="7">
        <v>2</v>
      </c>
      <c r="Q44" s="7">
        <v>1.6666666666666667</v>
      </c>
      <c r="R44" s="7">
        <v>2.1363636363636362</v>
      </c>
      <c r="S44" s="7">
        <v>2</v>
      </c>
      <c r="T44" s="7">
        <v>2.4</v>
      </c>
      <c r="U44" s="8">
        <f t="shared" si="8"/>
        <v>2.0004761904761907</v>
      </c>
      <c r="V44" s="8">
        <f t="shared" si="9"/>
        <v>1.875</v>
      </c>
      <c r="W44" s="8">
        <f t="shared" si="10"/>
        <v>2.1787878787878792</v>
      </c>
      <c r="X44" s="8">
        <f t="shared" si="11"/>
        <v>2.0180880230880232</v>
      </c>
      <c r="Y44" s="9">
        <v>3</v>
      </c>
      <c r="Z44" s="7">
        <v>3</v>
      </c>
      <c r="AA44" s="7">
        <v>3</v>
      </c>
      <c r="AB44" s="7">
        <v>3</v>
      </c>
      <c r="AC44" s="7">
        <v>3.5</v>
      </c>
      <c r="AD44" s="12">
        <v>3.5</v>
      </c>
      <c r="AE44" s="7">
        <v>3</v>
      </c>
      <c r="AF44" s="12">
        <v>3.3333333333333335</v>
      </c>
      <c r="AG44" s="10">
        <v>3.5</v>
      </c>
      <c r="AH44" s="10">
        <v>2.5</v>
      </c>
      <c r="AI44" s="10">
        <v>3</v>
      </c>
      <c r="AJ44" s="11">
        <v>3</v>
      </c>
      <c r="AK44" s="11">
        <v>3</v>
      </c>
      <c r="AL44" s="11">
        <v>3</v>
      </c>
      <c r="AM44" s="8">
        <f t="shared" si="12"/>
        <v>3.1428571428571428</v>
      </c>
      <c r="AN44" s="8">
        <f t="shared" si="13"/>
        <v>3.0833333333333335</v>
      </c>
      <c r="AO44" s="8">
        <f t="shared" si="14"/>
        <v>3</v>
      </c>
      <c r="AP44" s="8">
        <f t="shared" si="15"/>
        <v>3.0753968253968256</v>
      </c>
    </row>
    <row r="45" spans="1:42" ht="16" x14ac:dyDescent="0.2">
      <c r="A45" s="6" t="s">
        <v>101</v>
      </c>
      <c r="B45" s="5">
        <v>4</v>
      </c>
      <c r="C45" s="5">
        <v>4</v>
      </c>
      <c r="D45" s="5">
        <v>4</v>
      </c>
      <c r="E45" s="5">
        <v>4</v>
      </c>
      <c r="F45" s="5">
        <v>4</v>
      </c>
      <c r="G45" s="12">
        <v>2.3333333333333335</v>
      </c>
      <c r="H45" s="12">
        <v>2.5</v>
      </c>
      <c r="I45" s="12">
        <v>1</v>
      </c>
      <c r="J45" s="12">
        <v>1</v>
      </c>
      <c r="K45" s="12">
        <v>1.33</v>
      </c>
      <c r="L45" s="12">
        <v>1</v>
      </c>
      <c r="M45" s="7">
        <v>1.6666666666666667</v>
      </c>
      <c r="N45" s="12">
        <v>1.5</v>
      </c>
      <c r="O45" s="7">
        <v>2.3333333333333335</v>
      </c>
      <c r="P45" s="12">
        <v>1.5</v>
      </c>
      <c r="Q45" s="7">
        <v>1.3333333333333333</v>
      </c>
      <c r="R45" s="7">
        <v>2</v>
      </c>
      <c r="S45" s="7">
        <v>2.2307692307692308</v>
      </c>
      <c r="T45" s="7">
        <v>2</v>
      </c>
      <c r="U45" s="8">
        <f t="shared" si="8"/>
        <v>1.5471428571428572</v>
      </c>
      <c r="V45" s="8">
        <f t="shared" si="9"/>
        <v>1.6666666666666667</v>
      </c>
      <c r="W45" s="8">
        <f t="shared" si="10"/>
        <v>2.0769230769230771</v>
      </c>
      <c r="X45" s="8">
        <f t="shared" si="11"/>
        <v>1.7635775335775339</v>
      </c>
      <c r="Y45" s="13">
        <v>3.67</v>
      </c>
      <c r="Z45" s="12">
        <v>3.67</v>
      </c>
      <c r="AA45" s="12">
        <v>3</v>
      </c>
      <c r="AB45" s="12">
        <v>3.75</v>
      </c>
      <c r="AC45" s="12">
        <v>3.5</v>
      </c>
      <c r="AD45" s="12">
        <v>3.5</v>
      </c>
      <c r="AE45" s="7">
        <v>2.5</v>
      </c>
      <c r="AF45" s="12">
        <v>3.6666666666666665</v>
      </c>
      <c r="AG45" s="10">
        <v>2.5</v>
      </c>
      <c r="AH45" s="12">
        <v>3</v>
      </c>
      <c r="AI45" s="10">
        <v>1.5</v>
      </c>
      <c r="AJ45" s="11">
        <v>3</v>
      </c>
      <c r="AK45" s="11">
        <v>3</v>
      </c>
      <c r="AL45" s="11">
        <v>3</v>
      </c>
      <c r="AM45" s="8">
        <f t="shared" si="12"/>
        <v>3.37</v>
      </c>
      <c r="AN45" s="8">
        <f t="shared" si="13"/>
        <v>2.6666666666666665</v>
      </c>
      <c r="AO45" s="8">
        <f t="shared" si="14"/>
        <v>3</v>
      </c>
      <c r="AP45" s="8">
        <f t="shared" si="15"/>
        <v>3.0122222222222224</v>
      </c>
    </row>
    <row r="46" spans="1:42" ht="16" x14ac:dyDescent="0.2">
      <c r="A46" s="6" t="s">
        <v>102</v>
      </c>
      <c r="B46" s="5">
        <v>3</v>
      </c>
      <c r="C46" s="5">
        <v>3</v>
      </c>
      <c r="D46" s="5">
        <v>4</v>
      </c>
      <c r="E46" s="5">
        <v>4</v>
      </c>
      <c r="F46" s="5">
        <v>4</v>
      </c>
      <c r="G46" s="12">
        <v>3.3333333333333335</v>
      </c>
      <c r="H46" s="12">
        <v>2</v>
      </c>
      <c r="I46" s="7">
        <v>3.3333333333333335</v>
      </c>
      <c r="J46" s="7">
        <v>2.6666666666666665</v>
      </c>
      <c r="K46" s="7">
        <v>2.6666666666666665</v>
      </c>
      <c r="L46" s="12">
        <v>1.67</v>
      </c>
      <c r="M46" s="7">
        <v>2.6666666666666665</v>
      </c>
      <c r="N46" s="12">
        <v>1.67</v>
      </c>
      <c r="O46" s="7">
        <v>2.3333333333333335</v>
      </c>
      <c r="P46" s="7">
        <v>3.3333333333333335</v>
      </c>
      <c r="Q46" s="7">
        <v>2</v>
      </c>
      <c r="R46" s="7">
        <v>1.8181818181818181</v>
      </c>
      <c r="S46" s="7">
        <v>1.4615384615384615</v>
      </c>
      <c r="T46" s="7">
        <v>2</v>
      </c>
      <c r="U46" s="8">
        <f t="shared" si="8"/>
        <v>2.6195238095238094</v>
      </c>
      <c r="V46" s="8">
        <f t="shared" si="9"/>
        <v>2.3341666666666669</v>
      </c>
      <c r="W46" s="8">
        <f t="shared" si="10"/>
        <v>1.7599067599067599</v>
      </c>
      <c r="X46" s="8">
        <f t="shared" si="11"/>
        <v>2.2378657453657453</v>
      </c>
      <c r="Y46" s="13">
        <v>3.67</v>
      </c>
      <c r="Z46" s="12">
        <v>3.3333333333333335</v>
      </c>
      <c r="AA46" s="7">
        <v>3.3333333333333335</v>
      </c>
      <c r="AB46" s="7">
        <v>3.3333333333333335</v>
      </c>
      <c r="AC46" s="7">
        <v>3.3333333333333335</v>
      </c>
      <c r="AD46" s="12">
        <v>3.3333333333333335</v>
      </c>
      <c r="AE46" s="7">
        <v>3.3333333333333335</v>
      </c>
      <c r="AF46" s="12">
        <v>3.3333333333333335</v>
      </c>
      <c r="AG46" s="10">
        <v>3</v>
      </c>
      <c r="AH46" s="10">
        <v>3.3333333333333335</v>
      </c>
      <c r="AI46" s="10">
        <v>3.6666666666666665</v>
      </c>
      <c r="AJ46" s="11">
        <v>3</v>
      </c>
      <c r="AK46" s="11">
        <v>3</v>
      </c>
      <c r="AL46" s="11">
        <v>3</v>
      </c>
      <c r="AM46" s="8">
        <f t="shared" si="12"/>
        <v>3.3814285714285712</v>
      </c>
      <c r="AN46" s="8">
        <f t="shared" si="13"/>
        <v>3.3333333333333335</v>
      </c>
      <c r="AO46" s="8">
        <f t="shared" si="14"/>
        <v>3</v>
      </c>
      <c r="AP46" s="8">
        <f t="shared" si="15"/>
        <v>3.2382539682539679</v>
      </c>
    </row>
    <row r="47" spans="1:42" ht="16" x14ac:dyDescent="0.2">
      <c r="A47" s="6" t="s">
        <v>103</v>
      </c>
      <c r="B47" s="5">
        <v>3</v>
      </c>
      <c r="C47" s="5">
        <v>3</v>
      </c>
      <c r="D47" s="5">
        <v>4</v>
      </c>
      <c r="E47" s="5">
        <v>4</v>
      </c>
      <c r="F47" s="5">
        <v>4</v>
      </c>
      <c r="G47" s="7">
        <v>1.75</v>
      </c>
      <c r="H47" s="12">
        <v>2.33</v>
      </c>
      <c r="I47" s="7">
        <v>2.75</v>
      </c>
      <c r="J47" s="7">
        <v>2.5</v>
      </c>
      <c r="K47" s="7">
        <v>2.25</v>
      </c>
      <c r="L47" s="7">
        <v>3</v>
      </c>
      <c r="M47" s="7">
        <v>2.25</v>
      </c>
      <c r="N47" s="7">
        <v>2.25</v>
      </c>
      <c r="O47" s="7">
        <v>3</v>
      </c>
      <c r="P47" s="7">
        <v>2.75</v>
      </c>
      <c r="Q47" s="7">
        <v>1.5</v>
      </c>
      <c r="R47" s="7">
        <v>1.9545454545454546</v>
      </c>
      <c r="S47" s="7">
        <v>2</v>
      </c>
      <c r="T47" s="7">
        <v>2</v>
      </c>
      <c r="U47" s="8">
        <f t="shared" si="8"/>
        <v>2.4042857142857139</v>
      </c>
      <c r="V47" s="8">
        <f t="shared" si="9"/>
        <v>2.375</v>
      </c>
      <c r="W47" s="8">
        <f t="shared" si="10"/>
        <v>1.9848484848484851</v>
      </c>
      <c r="X47" s="8">
        <f t="shared" si="11"/>
        <v>2.2547113997113999</v>
      </c>
      <c r="Y47" s="9">
        <v>3</v>
      </c>
      <c r="Z47" s="12">
        <v>3.5</v>
      </c>
      <c r="AA47" s="7">
        <v>3.5</v>
      </c>
      <c r="AB47" s="7">
        <v>3.5</v>
      </c>
      <c r="AC47" s="7">
        <v>3.5</v>
      </c>
      <c r="AD47" s="7">
        <v>3.5</v>
      </c>
      <c r="AE47" s="7">
        <v>3.5</v>
      </c>
      <c r="AF47" s="10">
        <v>3.5</v>
      </c>
      <c r="AG47" s="10">
        <v>3.5</v>
      </c>
      <c r="AH47" s="10">
        <v>3.5</v>
      </c>
      <c r="AI47" s="10">
        <v>3.5</v>
      </c>
      <c r="AJ47" s="11">
        <v>2.4090909090909092</v>
      </c>
      <c r="AK47" s="11">
        <v>2.6923076923076925</v>
      </c>
      <c r="AL47" s="11">
        <v>2.8</v>
      </c>
      <c r="AM47" s="8">
        <f t="shared" si="12"/>
        <v>3.4285714285714284</v>
      </c>
      <c r="AN47" s="8">
        <f t="shared" si="13"/>
        <v>3.5</v>
      </c>
      <c r="AO47" s="8">
        <f t="shared" si="14"/>
        <v>2.6337995337995337</v>
      </c>
      <c r="AP47" s="8">
        <f t="shared" si="15"/>
        <v>3.1874569874569878</v>
      </c>
    </row>
    <row r="48" spans="1:42" ht="16" x14ac:dyDescent="0.2">
      <c r="A48" s="6" t="s">
        <v>104</v>
      </c>
      <c r="B48" s="5">
        <v>4</v>
      </c>
      <c r="C48" s="5">
        <v>4</v>
      </c>
      <c r="D48" s="5">
        <v>3</v>
      </c>
      <c r="E48" s="5">
        <v>4</v>
      </c>
      <c r="F48" s="5">
        <v>4</v>
      </c>
      <c r="G48" s="7">
        <v>1.5</v>
      </c>
      <c r="H48" s="7">
        <v>2.5</v>
      </c>
      <c r="I48" s="7">
        <v>2.25</v>
      </c>
      <c r="J48" s="7">
        <v>1.25</v>
      </c>
      <c r="K48" s="7">
        <v>1.75</v>
      </c>
      <c r="L48" s="7">
        <v>2.5</v>
      </c>
      <c r="M48" s="7">
        <v>2</v>
      </c>
      <c r="N48" s="7">
        <v>1.5</v>
      </c>
      <c r="O48" s="7">
        <v>1.5</v>
      </c>
      <c r="P48" s="7">
        <v>1.5</v>
      </c>
      <c r="Q48" s="7">
        <v>2</v>
      </c>
      <c r="R48" s="7">
        <v>1.9090909090909092</v>
      </c>
      <c r="S48" s="7">
        <v>2.1538461538461537</v>
      </c>
      <c r="T48" s="7">
        <v>2.2000000000000002</v>
      </c>
      <c r="U48" s="8">
        <f t="shared" si="8"/>
        <v>1.9642857142857142</v>
      </c>
      <c r="V48" s="8">
        <f t="shared" si="9"/>
        <v>1.625</v>
      </c>
      <c r="W48" s="8">
        <f t="shared" si="10"/>
        <v>2.0876456876456877</v>
      </c>
      <c r="X48" s="8">
        <f t="shared" si="11"/>
        <v>1.8923104673104671</v>
      </c>
      <c r="Y48" s="9">
        <v>3</v>
      </c>
      <c r="Z48" s="7">
        <v>3.5</v>
      </c>
      <c r="AA48" s="7">
        <v>3.5</v>
      </c>
      <c r="AB48" s="7">
        <v>2.5</v>
      </c>
      <c r="AC48" s="7">
        <v>3</v>
      </c>
      <c r="AD48" s="7">
        <v>3.5</v>
      </c>
      <c r="AE48" s="7">
        <v>2.5</v>
      </c>
      <c r="AF48" s="10">
        <v>3.5</v>
      </c>
      <c r="AG48" s="10">
        <v>3.5</v>
      </c>
      <c r="AH48" s="10">
        <v>3</v>
      </c>
      <c r="AI48" s="10">
        <v>2.5</v>
      </c>
      <c r="AJ48" s="11">
        <v>2.8636363636363638</v>
      </c>
      <c r="AK48" s="11">
        <v>2.9230769230769229</v>
      </c>
      <c r="AL48" s="11">
        <v>2.8</v>
      </c>
      <c r="AM48" s="8">
        <f t="shared" si="12"/>
        <v>3.0714285714285716</v>
      </c>
      <c r="AN48" s="8">
        <f t="shared" si="13"/>
        <v>3.125</v>
      </c>
      <c r="AO48" s="8">
        <f t="shared" si="14"/>
        <v>2.8622377622377626</v>
      </c>
      <c r="AP48" s="8">
        <f t="shared" si="15"/>
        <v>3.0195554445554449</v>
      </c>
    </row>
    <row r="49" spans="1:42" ht="16" x14ac:dyDescent="0.2">
      <c r="A49" s="6" t="s">
        <v>105</v>
      </c>
      <c r="B49" s="5">
        <v>4</v>
      </c>
      <c r="C49" s="5">
        <v>3</v>
      </c>
      <c r="D49" s="5">
        <v>3</v>
      </c>
      <c r="E49" s="5">
        <v>4</v>
      </c>
      <c r="F49" s="5">
        <v>4</v>
      </c>
      <c r="G49" s="7">
        <v>2</v>
      </c>
      <c r="H49" s="7">
        <v>2.6666666666666665</v>
      </c>
      <c r="I49" s="7">
        <v>2.3333333333333335</v>
      </c>
      <c r="J49" s="7">
        <v>1.6666666666666667</v>
      </c>
      <c r="K49" s="7">
        <v>2</v>
      </c>
      <c r="L49" s="7">
        <v>3.3333333333333335</v>
      </c>
      <c r="M49" s="7">
        <v>2</v>
      </c>
      <c r="N49" s="7">
        <v>3</v>
      </c>
      <c r="O49" s="7">
        <v>2.3333333333333335</v>
      </c>
      <c r="P49" s="7">
        <v>2</v>
      </c>
      <c r="Q49" s="7">
        <v>1.6666666666666667</v>
      </c>
      <c r="R49" s="12">
        <v>1.5</v>
      </c>
      <c r="S49" s="7">
        <v>2.9230769230769229</v>
      </c>
      <c r="T49" s="7">
        <v>2.2000000000000002</v>
      </c>
      <c r="U49" s="8">
        <f t="shared" si="8"/>
        <v>2.2857142857142856</v>
      </c>
      <c r="V49" s="8">
        <f t="shared" si="9"/>
        <v>2.25</v>
      </c>
      <c r="W49" s="8">
        <f t="shared" si="10"/>
        <v>2.2076923076923078</v>
      </c>
      <c r="X49" s="8">
        <f t="shared" si="11"/>
        <v>2.2478021978021978</v>
      </c>
      <c r="Y49" s="9">
        <v>3.5</v>
      </c>
      <c r="Z49" s="7">
        <v>3.5</v>
      </c>
      <c r="AA49" s="7">
        <v>3.5</v>
      </c>
      <c r="AB49" s="7">
        <v>3.5</v>
      </c>
      <c r="AC49" s="7">
        <v>3</v>
      </c>
      <c r="AD49" s="7">
        <v>3.5</v>
      </c>
      <c r="AE49" s="7">
        <v>3.5</v>
      </c>
      <c r="AF49" s="10">
        <v>3.5</v>
      </c>
      <c r="AG49" s="10">
        <v>3.5</v>
      </c>
      <c r="AH49" s="10">
        <v>2.5</v>
      </c>
      <c r="AI49" s="10">
        <v>3.5</v>
      </c>
      <c r="AJ49" s="14">
        <v>2.4500000000000002</v>
      </c>
      <c r="AK49" s="11">
        <v>2.9230769230769229</v>
      </c>
      <c r="AL49" s="11">
        <v>2.6</v>
      </c>
      <c r="AM49" s="8">
        <f t="shared" si="12"/>
        <v>3.4285714285714284</v>
      </c>
      <c r="AN49" s="8">
        <f t="shared" si="13"/>
        <v>3.25</v>
      </c>
      <c r="AO49" s="8">
        <f t="shared" si="14"/>
        <v>2.6576923076923076</v>
      </c>
      <c r="AP49" s="8">
        <f t="shared" si="15"/>
        <v>3.1120879120879121</v>
      </c>
    </row>
    <row r="50" spans="1:42" ht="16" x14ac:dyDescent="0.2">
      <c r="A50" s="6" t="s">
        <v>106</v>
      </c>
      <c r="B50" s="5">
        <v>3</v>
      </c>
      <c r="C50" s="5">
        <v>3</v>
      </c>
      <c r="D50" s="5">
        <v>3</v>
      </c>
      <c r="E50" s="5">
        <v>4</v>
      </c>
      <c r="F50" s="5">
        <v>4</v>
      </c>
      <c r="G50" s="7">
        <v>2.5</v>
      </c>
      <c r="H50" s="7">
        <v>3.5</v>
      </c>
      <c r="I50" s="7">
        <v>3</v>
      </c>
      <c r="J50" s="7">
        <v>2.5</v>
      </c>
      <c r="K50" s="7">
        <v>2.5</v>
      </c>
      <c r="L50" s="12">
        <v>2</v>
      </c>
      <c r="M50" s="7">
        <v>1.5</v>
      </c>
      <c r="N50" s="7">
        <v>3</v>
      </c>
      <c r="O50" s="7">
        <v>2</v>
      </c>
      <c r="P50" s="7">
        <v>3</v>
      </c>
      <c r="Q50" s="7">
        <v>2</v>
      </c>
      <c r="R50" s="12">
        <v>1.23</v>
      </c>
      <c r="S50" s="7">
        <v>2.6923076923076925</v>
      </c>
      <c r="T50" s="7">
        <v>1.4</v>
      </c>
      <c r="U50" s="8">
        <f t="shared" si="8"/>
        <v>2.5</v>
      </c>
      <c r="V50" s="8">
        <f t="shared" si="9"/>
        <v>2.5</v>
      </c>
      <c r="W50" s="8">
        <f t="shared" si="10"/>
        <v>1.7741025641025641</v>
      </c>
      <c r="X50" s="8">
        <f t="shared" si="11"/>
        <v>2.2580341880341881</v>
      </c>
      <c r="Y50" s="9">
        <v>3</v>
      </c>
      <c r="Z50" s="7">
        <v>4</v>
      </c>
      <c r="AA50" s="7">
        <v>3</v>
      </c>
      <c r="AB50" s="7">
        <v>3</v>
      </c>
      <c r="AC50" s="7">
        <v>3</v>
      </c>
      <c r="AD50" s="12">
        <v>3.95</v>
      </c>
      <c r="AE50" s="7">
        <v>3</v>
      </c>
      <c r="AF50" s="10">
        <v>3</v>
      </c>
      <c r="AG50" s="10">
        <v>3</v>
      </c>
      <c r="AH50" s="10">
        <v>3</v>
      </c>
      <c r="AI50" s="10">
        <v>3</v>
      </c>
      <c r="AJ50" s="14">
        <v>2.1800000000000002</v>
      </c>
      <c r="AK50" s="11">
        <v>2.6923076923076925</v>
      </c>
      <c r="AL50" s="11">
        <v>2.8</v>
      </c>
      <c r="AM50" s="8">
        <f t="shared" si="12"/>
        <v>3.2785714285714285</v>
      </c>
      <c r="AN50" s="8">
        <f t="shared" si="13"/>
        <v>3</v>
      </c>
      <c r="AO50" s="8">
        <f t="shared" si="14"/>
        <v>2.5574358974358975</v>
      </c>
      <c r="AP50" s="8">
        <f t="shared" si="15"/>
        <v>2.9453357753357756</v>
      </c>
    </row>
    <row r="51" spans="1:42" ht="16" x14ac:dyDescent="0.2">
      <c r="A51" s="6" t="s">
        <v>107</v>
      </c>
      <c r="B51" s="5">
        <v>4</v>
      </c>
      <c r="C51" s="5">
        <v>4</v>
      </c>
      <c r="D51" s="5">
        <v>4</v>
      </c>
      <c r="E51" s="5">
        <v>4</v>
      </c>
      <c r="F51" s="5">
        <v>4</v>
      </c>
      <c r="G51" s="7">
        <v>1</v>
      </c>
      <c r="H51" s="7">
        <v>1</v>
      </c>
      <c r="I51" s="7">
        <v>2</v>
      </c>
      <c r="J51" s="7">
        <v>1.5</v>
      </c>
      <c r="K51" s="7">
        <v>1</v>
      </c>
      <c r="L51" s="7">
        <v>2.5</v>
      </c>
      <c r="M51" s="7">
        <v>1</v>
      </c>
      <c r="N51" s="7">
        <v>2</v>
      </c>
      <c r="O51" s="7">
        <v>2.5</v>
      </c>
      <c r="P51" s="7">
        <v>1.5</v>
      </c>
      <c r="Q51" s="7">
        <v>1</v>
      </c>
      <c r="R51" s="7">
        <v>1.4090909090909092</v>
      </c>
      <c r="S51" s="7">
        <v>1.7692307692307692</v>
      </c>
      <c r="T51" s="7">
        <v>1</v>
      </c>
      <c r="U51" s="8">
        <f t="shared" si="8"/>
        <v>1.4285714285714286</v>
      </c>
      <c r="V51" s="8">
        <f t="shared" si="9"/>
        <v>1.75</v>
      </c>
      <c r="W51" s="8">
        <f t="shared" si="10"/>
        <v>1.3927738927738929</v>
      </c>
      <c r="X51" s="8">
        <f t="shared" si="11"/>
        <v>1.523781773781774</v>
      </c>
      <c r="Y51" s="9">
        <v>3</v>
      </c>
      <c r="Z51" s="7">
        <v>4</v>
      </c>
      <c r="AA51" s="7">
        <v>3</v>
      </c>
      <c r="AB51" s="7">
        <v>3</v>
      </c>
      <c r="AC51" s="7">
        <v>2.5</v>
      </c>
      <c r="AD51" s="7">
        <v>3.5</v>
      </c>
      <c r="AE51" s="7">
        <v>3</v>
      </c>
      <c r="AF51" s="10">
        <v>3</v>
      </c>
      <c r="AG51" s="10">
        <v>3</v>
      </c>
      <c r="AH51" s="10">
        <v>3</v>
      </c>
      <c r="AI51" s="10">
        <v>1.5</v>
      </c>
      <c r="AJ51" s="11">
        <v>2.7727272727272729</v>
      </c>
      <c r="AK51" s="11">
        <v>2.6923076923076925</v>
      </c>
      <c r="AL51" s="11">
        <v>2.8</v>
      </c>
      <c r="AM51" s="8">
        <f t="shared" si="12"/>
        <v>3.1428571428571428</v>
      </c>
      <c r="AN51" s="8">
        <f t="shared" si="13"/>
        <v>2.625</v>
      </c>
      <c r="AO51" s="8">
        <f t="shared" si="14"/>
        <v>2.7550116550116548</v>
      </c>
      <c r="AP51" s="8">
        <f t="shared" si="15"/>
        <v>2.8409562659562657</v>
      </c>
    </row>
    <row r="52" spans="1:42" ht="16" x14ac:dyDescent="0.2">
      <c r="A52" s="6" t="s">
        <v>108</v>
      </c>
      <c r="B52" s="5">
        <v>4</v>
      </c>
      <c r="C52" s="5">
        <v>4</v>
      </c>
      <c r="D52" s="5">
        <v>4</v>
      </c>
      <c r="E52" s="5">
        <v>4</v>
      </c>
      <c r="F52" s="5">
        <v>4</v>
      </c>
      <c r="G52" s="7">
        <v>1.6666666666666667</v>
      </c>
      <c r="H52" s="7">
        <v>2.3333333333333335</v>
      </c>
      <c r="I52" s="7">
        <v>2.3333333333333335</v>
      </c>
      <c r="J52" s="7">
        <v>2</v>
      </c>
      <c r="K52" s="7">
        <v>2</v>
      </c>
      <c r="L52" s="7">
        <v>2.3333333333333335</v>
      </c>
      <c r="M52" s="7">
        <v>2</v>
      </c>
      <c r="N52" s="7">
        <v>2.3333333333333335</v>
      </c>
      <c r="O52" s="7">
        <v>2.3333333333333335</v>
      </c>
      <c r="P52" s="7">
        <v>1.6666666666666667</v>
      </c>
      <c r="Q52" s="7">
        <v>1</v>
      </c>
      <c r="R52" s="7">
        <v>1.9090909090909092</v>
      </c>
      <c r="S52" s="7">
        <v>2.2307692307692308</v>
      </c>
      <c r="T52" s="7">
        <v>1.2</v>
      </c>
      <c r="U52" s="8">
        <f t="shared" si="8"/>
        <v>2.0952380952380953</v>
      </c>
      <c r="V52" s="8">
        <f t="shared" si="9"/>
        <v>1.8333333333333335</v>
      </c>
      <c r="W52" s="8">
        <f t="shared" si="10"/>
        <v>1.77995337995338</v>
      </c>
      <c r="X52" s="8">
        <f t="shared" si="11"/>
        <v>1.9028416028416029</v>
      </c>
      <c r="Y52" s="9">
        <v>4</v>
      </c>
      <c r="Z52" s="7">
        <v>4</v>
      </c>
      <c r="AA52" s="7">
        <v>4</v>
      </c>
      <c r="AB52" s="7">
        <v>4</v>
      </c>
      <c r="AC52" s="7">
        <v>4</v>
      </c>
      <c r="AD52" s="7">
        <v>4</v>
      </c>
      <c r="AE52" s="7">
        <v>4</v>
      </c>
      <c r="AF52" s="10">
        <v>3</v>
      </c>
      <c r="AG52" s="10">
        <v>3</v>
      </c>
      <c r="AH52" s="10">
        <v>3</v>
      </c>
      <c r="AI52" s="10">
        <v>3</v>
      </c>
      <c r="AJ52" s="11">
        <v>2.6818181818181817</v>
      </c>
      <c r="AK52" s="11">
        <v>2.8461538461538463</v>
      </c>
      <c r="AL52" s="11">
        <v>2.6</v>
      </c>
      <c r="AM52" s="8">
        <f t="shared" si="12"/>
        <v>4</v>
      </c>
      <c r="AN52" s="8">
        <f t="shared" si="13"/>
        <v>3</v>
      </c>
      <c r="AO52" s="8">
        <f t="shared" si="14"/>
        <v>2.7093240093240092</v>
      </c>
      <c r="AP52" s="8">
        <f t="shared" si="15"/>
        <v>3.2364413364413362</v>
      </c>
    </row>
    <row r="53" spans="1:42" ht="16" x14ac:dyDescent="0.2">
      <c r="A53" s="6" t="s">
        <v>109</v>
      </c>
      <c r="B53" s="5">
        <v>4</v>
      </c>
      <c r="C53" s="5">
        <v>4</v>
      </c>
      <c r="D53" s="5">
        <v>4</v>
      </c>
      <c r="E53" s="5">
        <v>4</v>
      </c>
      <c r="F53" s="5">
        <v>4</v>
      </c>
      <c r="G53" s="7">
        <v>1.3333333333333333</v>
      </c>
      <c r="H53" s="7">
        <v>2.6666666666666665</v>
      </c>
      <c r="I53" s="7">
        <v>3</v>
      </c>
      <c r="J53" s="7">
        <v>1</v>
      </c>
      <c r="K53" s="7">
        <v>1.3333333333333333</v>
      </c>
      <c r="L53" s="7">
        <v>3</v>
      </c>
      <c r="M53" s="7">
        <v>1</v>
      </c>
      <c r="N53" s="7">
        <v>2.3333333333333335</v>
      </c>
      <c r="O53" s="7">
        <v>1.3333333333333333</v>
      </c>
      <c r="P53" s="7">
        <v>1.3333333333333333</v>
      </c>
      <c r="Q53" s="7">
        <v>1</v>
      </c>
      <c r="R53" s="7">
        <v>2.7727272727272729</v>
      </c>
      <c r="S53" s="7">
        <v>2.9230769230769229</v>
      </c>
      <c r="T53" s="12">
        <v>1.2</v>
      </c>
      <c r="U53" s="8">
        <f t="shared" si="8"/>
        <v>1.9047619047619049</v>
      </c>
      <c r="V53" s="8">
        <f t="shared" si="9"/>
        <v>1.5</v>
      </c>
      <c r="W53" s="8">
        <f t="shared" si="10"/>
        <v>2.2986013986013987</v>
      </c>
      <c r="X53" s="8">
        <f t="shared" si="11"/>
        <v>1.9011211011211013</v>
      </c>
      <c r="Y53" s="9">
        <v>3</v>
      </c>
      <c r="Z53" s="7">
        <v>4</v>
      </c>
      <c r="AA53" s="7">
        <v>3</v>
      </c>
      <c r="AB53" s="7">
        <v>3</v>
      </c>
      <c r="AC53" s="7">
        <v>4</v>
      </c>
      <c r="AD53" s="7">
        <v>4</v>
      </c>
      <c r="AE53" s="7">
        <v>4</v>
      </c>
      <c r="AF53" s="10">
        <v>4</v>
      </c>
      <c r="AG53" s="10">
        <v>4</v>
      </c>
      <c r="AH53" s="10">
        <v>4</v>
      </c>
      <c r="AI53" s="10">
        <v>4</v>
      </c>
      <c r="AJ53" s="11">
        <v>3</v>
      </c>
      <c r="AK53" s="11">
        <v>3</v>
      </c>
      <c r="AL53" s="14">
        <v>2.95</v>
      </c>
      <c r="AM53" s="8">
        <f t="shared" si="12"/>
        <v>3.5714285714285716</v>
      </c>
      <c r="AN53" s="8">
        <f t="shared" si="13"/>
        <v>4</v>
      </c>
      <c r="AO53" s="8">
        <f t="shared" si="14"/>
        <v>2.9833333333333329</v>
      </c>
      <c r="AP53" s="8">
        <f t="shared" si="15"/>
        <v>3.5182539682539677</v>
      </c>
    </row>
    <row r="54" spans="1:42" ht="16" x14ac:dyDescent="0.2">
      <c r="A54" s="6" t="s">
        <v>110</v>
      </c>
      <c r="B54" s="5">
        <v>4</v>
      </c>
      <c r="C54" s="5">
        <v>3</v>
      </c>
      <c r="D54" s="5">
        <v>3</v>
      </c>
      <c r="E54" s="5">
        <v>4</v>
      </c>
      <c r="F54" s="5">
        <v>4</v>
      </c>
      <c r="G54" s="7">
        <v>2</v>
      </c>
      <c r="H54" s="7">
        <v>3.3333333333333335</v>
      </c>
      <c r="I54" s="7">
        <v>2.3333333333333335</v>
      </c>
      <c r="J54" s="7">
        <v>3</v>
      </c>
      <c r="K54" s="7">
        <v>2.6666666666666665</v>
      </c>
      <c r="L54" s="7">
        <v>3.3333333333333335</v>
      </c>
      <c r="M54" s="7">
        <v>2.3333333333333335</v>
      </c>
      <c r="N54" s="12">
        <v>2.67</v>
      </c>
      <c r="O54" s="7">
        <v>2.3333333333333335</v>
      </c>
      <c r="P54" s="12">
        <v>2.33</v>
      </c>
      <c r="Q54" s="7">
        <v>2</v>
      </c>
      <c r="R54" s="7">
        <v>2.1818181818181817</v>
      </c>
      <c r="S54" s="7">
        <v>2</v>
      </c>
      <c r="T54" s="12">
        <v>1.2</v>
      </c>
      <c r="U54" s="8">
        <f t="shared" si="8"/>
        <v>2.7142857142857144</v>
      </c>
      <c r="V54" s="8">
        <f t="shared" si="9"/>
        <v>2.3333333333333335</v>
      </c>
      <c r="W54" s="8">
        <f t="shared" si="10"/>
        <v>1.7939393939393939</v>
      </c>
      <c r="X54" s="8">
        <f t="shared" si="11"/>
        <v>2.2805194805194806</v>
      </c>
      <c r="Y54" s="9">
        <v>3.5</v>
      </c>
      <c r="Z54" s="7">
        <v>4</v>
      </c>
      <c r="AA54" s="7">
        <v>4</v>
      </c>
      <c r="AB54" s="7">
        <v>4</v>
      </c>
      <c r="AC54" s="7">
        <v>4</v>
      </c>
      <c r="AD54" s="7">
        <v>3.5</v>
      </c>
      <c r="AE54" s="7">
        <v>4</v>
      </c>
      <c r="AF54" s="12">
        <v>3.5</v>
      </c>
      <c r="AG54" s="10">
        <v>3.5</v>
      </c>
      <c r="AH54" s="12">
        <v>3.75</v>
      </c>
      <c r="AI54" s="10">
        <v>3</v>
      </c>
      <c r="AJ54" s="11">
        <v>2.5454545454545454</v>
      </c>
      <c r="AK54" s="11">
        <v>2.3846153846153846</v>
      </c>
      <c r="AL54" s="14">
        <v>2.2000000000000002</v>
      </c>
      <c r="AM54" s="8">
        <f t="shared" si="12"/>
        <v>3.8571428571428572</v>
      </c>
      <c r="AN54" s="8">
        <f t="shared" si="13"/>
        <v>3.4375</v>
      </c>
      <c r="AO54" s="8">
        <f t="shared" si="14"/>
        <v>2.3766899766899767</v>
      </c>
      <c r="AP54" s="8">
        <f t="shared" si="15"/>
        <v>3.2237776112776118</v>
      </c>
    </row>
    <row r="55" spans="1:42" ht="16" x14ac:dyDescent="0.2">
      <c r="A55" s="6" t="s">
        <v>111</v>
      </c>
      <c r="B55" s="5">
        <v>4</v>
      </c>
      <c r="C55" s="5">
        <v>3</v>
      </c>
      <c r="D55" s="5">
        <v>3</v>
      </c>
      <c r="E55" s="5">
        <v>4</v>
      </c>
      <c r="F55" s="5">
        <v>4</v>
      </c>
      <c r="G55" s="12">
        <v>1.3333333333333333</v>
      </c>
      <c r="H55" s="12">
        <v>2.3333333333333335</v>
      </c>
      <c r="I55" s="12">
        <v>2</v>
      </c>
      <c r="J55" s="7">
        <v>1.6666666666666667</v>
      </c>
      <c r="K55" s="7">
        <v>1.3333333333333333</v>
      </c>
      <c r="L55" s="12">
        <v>2.33</v>
      </c>
      <c r="M55" s="7">
        <v>1.3333333333333333</v>
      </c>
      <c r="N55" s="12">
        <v>2.6666666666666665</v>
      </c>
      <c r="O55" s="7">
        <v>1</v>
      </c>
      <c r="P55" s="12">
        <v>1.67</v>
      </c>
      <c r="Q55" s="7">
        <v>2</v>
      </c>
      <c r="R55" s="7">
        <v>2</v>
      </c>
      <c r="S55" s="7">
        <v>2</v>
      </c>
      <c r="T55" s="7">
        <v>2</v>
      </c>
      <c r="U55" s="8">
        <f t="shared" si="8"/>
        <v>1.7614285714285718</v>
      </c>
      <c r="V55" s="8">
        <f t="shared" si="9"/>
        <v>1.8341666666666665</v>
      </c>
      <c r="W55" s="8">
        <f t="shared" si="10"/>
        <v>2</v>
      </c>
      <c r="X55" s="8">
        <f t="shared" si="11"/>
        <v>1.8651984126984127</v>
      </c>
      <c r="Y55" s="13">
        <v>3</v>
      </c>
      <c r="Z55" s="12">
        <v>3.5</v>
      </c>
      <c r="AA55" s="12">
        <v>3.67</v>
      </c>
      <c r="AB55" s="7">
        <v>3.3333333333333335</v>
      </c>
      <c r="AC55" s="7">
        <v>2.6666666666666665</v>
      </c>
      <c r="AD55" s="12">
        <v>3.67</v>
      </c>
      <c r="AE55" s="7">
        <v>1.3333333333333333</v>
      </c>
      <c r="AF55" s="12">
        <v>3</v>
      </c>
      <c r="AG55" s="10">
        <v>3</v>
      </c>
      <c r="AH55" s="12">
        <v>3.25</v>
      </c>
      <c r="AI55" s="10">
        <v>2</v>
      </c>
      <c r="AJ55" s="11">
        <v>2</v>
      </c>
      <c r="AK55" s="11">
        <v>2.9230769230769229</v>
      </c>
      <c r="AL55" s="11">
        <v>2.2000000000000002</v>
      </c>
      <c r="AM55" s="8">
        <f t="shared" si="12"/>
        <v>3.0247619047619052</v>
      </c>
      <c r="AN55" s="8">
        <f t="shared" si="13"/>
        <v>2.8125</v>
      </c>
      <c r="AO55" s="8">
        <f t="shared" si="14"/>
        <v>2.3743589743589744</v>
      </c>
      <c r="AP55" s="8">
        <f t="shared" si="15"/>
        <v>2.7372069597069597</v>
      </c>
    </row>
    <row r="56" spans="1:42" ht="16" x14ac:dyDescent="0.2">
      <c r="A56" s="6" t="s">
        <v>112</v>
      </c>
      <c r="B56" s="5">
        <v>4</v>
      </c>
      <c r="C56" s="5">
        <v>3</v>
      </c>
      <c r="D56" s="5">
        <v>3</v>
      </c>
      <c r="E56" s="5">
        <v>4</v>
      </c>
      <c r="F56" s="5">
        <v>4</v>
      </c>
      <c r="G56" s="7">
        <v>2</v>
      </c>
      <c r="H56" s="7">
        <v>2.6666666666666665</v>
      </c>
      <c r="I56" s="7">
        <v>2.3333333333333335</v>
      </c>
      <c r="J56" s="7">
        <v>2</v>
      </c>
      <c r="K56" s="7">
        <v>2</v>
      </c>
      <c r="L56" s="7">
        <v>3.3333333333333335</v>
      </c>
      <c r="M56" s="7">
        <v>2</v>
      </c>
      <c r="N56" s="7">
        <v>2</v>
      </c>
      <c r="O56" s="7">
        <v>1.6666666666666667</v>
      </c>
      <c r="P56" s="7">
        <v>3</v>
      </c>
      <c r="Q56" s="7">
        <v>2.3333333333333335</v>
      </c>
      <c r="R56" s="12">
        <v>1.9090909090909092</v>
      </c>
      <c r="S56" s="12">
        <v>1.46</v>
      </c>
      <c r="T56" s="7">
        <v>2</v>
      </c>
      <c r="U56" s="8">
        <f t="shared" si="8"/>
        <v>2.3333333333333335</v>
      </c>
      <c r="V56" s="8">
        <f t="shared" si="9"/>
        <v>2.25</v>
      </c>
      <c r="W56" s="8">
        <f t="shared" si="10"/>
        <v>1.7896969696969698</v>
      </c>
      <c r="X56" s="8">
        <f t="shared" si="11"/>
        <v>2.1243434343434346</v>
      </c>
      <c r="Y56" s="9">
        <v>2.67</v>
      </c>
      <c r="Z56" s="7">
        <v>3</v>
      </c>
      <c r="AA56" s="7">
        <v>3</v>
      </c>
      <c r="AB56" s="7">
        <v>3</v>
      </c>
      <c r="AC56" s="7">
        <v>3</v>
      </c>
      <c r="AD56" s="7">
        <v>3.67</v>
      </c>
      <c r="AE56" s="7">
        <v>2.67</v>
      </c>
      <c r="AF56" s="10">
        <v>3</v>
      </c>
      <c r="AG56" s="10">
        <v>2.5</v>
      </c>
      <c r="AH56" s="10">
        <v>3.5</v>
      </c>
      <c r="AI56" s="10">
        <v>3.5</v>
      </c>
      <c r="AJ56" s="14">
        <v>2.86</v>
      </c>
      <c r="AK56" s="14">
        <v>2.85</v>
      </c>
      <c r="AL56" s="11">
        <v>2.4</v>
      </c>
      <c r="AM56" s="8">
        <f t="shared" si="12"/>
        <v>3.0014285714285713</v>
      </c>
      <c r="AN56" s="8">
        <f t="shared" si="13"/>
        <v>3.125</v>
      </c>
      <c r="AO56" s="8">
        <f t="shared" si="14"/>
        <v>2.7033333333333331</v>
      </c>
      <c r="AP56" s="8">
        <f t="shared" si="15"/>
        <v>2.943253968253968</v>
      </c>
    </row>
    <row r="57" spans="1:42" ht="16" x14ac:dyDescent="0.2">
      <c r="A57" s="6" t="s">
        <v>113</v>
      </c>
      <c r="B57" s="5">
        <v>3</v>
      </c>
      <c r="C57" s="5">
        <v>4</v>
      </c>
      <c r="D57" s="5">
        <v>3</v>
      </c>
      <c r="E57" s="5">
        <v>4</v>
      </c>
      <c r="F57" s="5">
        <v>4</v>
      </c>
      <c r="G57" s="12">
        <v>1.6666666666666667</v>
      </c>
      <c r="H57" s="7">
        <v>2</v>
      </c>
      <c r="I57" s="7">
        <v>1.6666666666666667</v>
      </c>
      <c r="J57" s="7">
        <v>1</v>
      </c>
      <c r="K57" s="7">
        <v>1.3333333333333333</v>
      </c>
      <c r="L57" s="7">
        <v>2</v>
      </c>
      <c r="M57" s="7">
        <v>1.6666666666666667</v>
      </c>
      <c r="N57" s="7">
        <v>1.3333333333333333</v>
      </c>
      <c r="O57" s="7">
        <v>2</v>
      </c>
      <c r="P57" s="7">
        <v>2.3333333333333335</v>
      </c>
      <c r="Q57" s="7">
        <v>1.6666666666666667</v>
      </c>
      <c r="R57" s="7">
        <v>2.3181818181818183</v>
      </c>
      <c r="S57" s="7">
        <v>2.3076923076923075</v>
      </c>
      <c r="T57" s="7">
        <v>2.4</v>
      </c>
      <c r="U57" s="8">
        <f t="shared" si="8"/>
        <v>1.6190476190476191</v>
      </c>
      <c r="V57" s="8">
        <f t="shared" si="9"/>
        <v>1.8333333333333333</v>
      </c>
      <c r="W57" s="8">
        <f t="shared" si="10"/>
        <v>2.3419580419580419</v>
      </c>
      <c r="X57" s="8">
        <f t="shared" si="11"/>
        <v>1.9314463314463317</v>
      </c>
      <c r="Y57" s="13">
        <v>3</v>
      </c>
      <c r="Z57" s="7">
        <v>3.6666666666666665</v>
      </c>
      <c r="AA57" s="7">
        <v>2.3333333333333335</v>
      </c>
      <c r="AB57" s="7">
        <v>2.3333333333333335</v>
      </c>
      <c r="AC57" s="7">
        <v>2</v>
      </c>
      <c r="AD57" s="7">
        <v>3</v>
      </c>
      <c r="AE57" s="7">
        <v>2.3333333333333335</v>
      </c>
      <c r="AF57" s="10">
        <v>3.6666666666666665</v>
      </c>
      <c r="AG57" s="10">
        <v>2.3333333333333335</v>
      </c>
      <c r="AH57" s="7">
        <v>3.3333333333333335</v>
      </c>
      <c r="AI57" s="10">
        <v>2</v>
      </c>
      <c r="AJ57" s="11">
        <v>2.8181818181818183</v>
      </c>
      <c r="AK57" s="11">
        <v>2.6923076923076925</v>
      </c>
      <c r="AL57" s="11">
        <v>2.8</v>
      </c>
      <c r="AM57" s="8">
        <f t="shared" si="12"/>
        <v>2.666666666666667</v>
      </c>
      <c r="AN57" s="8">
        <f t="shared" si="13"/>
        <v>2.8333333333333335</v>
      </c>
      <c r="AO57" s="8">
        <f t="shared" si="14"/>
        <v>2.7701631701631704</v>
      </c>
      <c r="AP57" s="8">
        <f t="shared" si="15"/>
        <v>2.7567210567210569</v>
      </c>
    </row>
    <row r="58" spans="1:42" ht="16" x14ac:dyDescent="0.2">
      <c r="A58" s="6" t="s">
        <v>114</v>
      </c>
      <c r="B58" s="5">
        <v>3</v>
      </c>
      <c r="C58" s="5">
        <v>3</v>
      </c>
      <c r="D58" s="5">
        <v>3</v>
      </c>
      <c r="E58" s="5">
        <v>4</v>
      </c>
      <c r="F58" s="5">
        <v>4</v>
      </c>
      <c r="G58" s="12">
        <v>1.6666666666666667</v>
      </c>
      <c r="H58" s="7">
        <v>2.3333333333333335</v>
      </c>
      <c r="I58" s="7">
        <v>2.3333333333333335</v>
      </c>
      <c r="J58" s="7">
        <v>1</v>
      </c>
      <c r="K58" s="7">
        <v>1.3333333333333333</v>
      </c>
      <c r="L58" s="7">
        <v>2.3333333333333335</v>
      </c>
      <c r="M58" s="7">
        <v>1.3333333333333333</v>
      </c>
      <c r="N58" s="7">
        <v>2</v>
      </c>
      <c r="O58" s="7">
        <v>2</v>
      </c>
      <c r="P58" s="12">
        <v>2</v>
      </c>
      <c r="Q58" s="7">
        <v>1.3333333333333333</v>
      </c>
      <c r="R58" s="7">
        <v>2.7727272727272729</v>
      </c>
      <c r="S58" s="7">
        <v>2.4615384615384617</v>
      </c>
      <c r="T58" s="7">
        <v>2.4</v>
      </c>
      <c r="U58" s="8">
        <f t="shared" si="8"/>
        <v>1.7619047619047623</v>
      </c>
      <c r="V58" s="8">
        <f t="shared" si="9"/>
        <v>1.8333333333333333</v>
      </c>
      <c r="W58" s="8">
        <f t="shared" si="10"/>
        <v>2.5447552447552453</v>
      </c>
      <c r="X58" s="8">
        <f t="shared" si="11"/>
        <v>2.046664446664447</v>
      </c>
      <c r="Y58" s="13">
        <v>3</v>
      </c>
      <c r="Z58" s="7">
        <v>3</v>
      </c>
      <c r="AA58" s="7">
        <v>3</v>
      </c>
      <c r="AB58" s="7">
        <v>2</v>
      </c>
      <c r="AC58" s="7">
        <v>2</v>
      </c>
      <c r="AD58" s="7">
        <v>3</v>
      </c>
      <c r="AE58" s="7">
        <v>2</v>
      </c>
      <c r="AF58" s="10">
        <v>2</v>
      </c>
      <c r="AG58" s="10">
        <v>2</v>
      </c>
      <c r="AH58" s="12">
        <v>3.33</v>
      </c>
      <c r="AI58" s="10">
        <v>2</v>
      </c>
      <c r="AJ58" s="11">
        <v>2.7727272727272729</v>
      </c>
      <c r="AK58" s="11">
        <v>2.8461538461538463</v>
      </c>
      <c r="AL58" s="11">
        <v>3</v>
      </c>
      <c r="AM58" s="8">
        <f t="shared" si="12"/>
        <v>2.5714285714285716</v>
      </c>
      <c r="AN58" s="8">
        <f t="shared" si="13"/>
        <v>2.3325</v>
      </c>
      <c r="AO58" s="8">
        <f t="shared" si="14"/>
        <v>2.8729603729603732</v>
      </c>
      <c r="AP58" s="8">
        <f t="shared" si="15"/>
        <v>2.5922963147963149</v>
      </c>
    </row>
    <row r="59" spans="1:42" ht="16" x14ac:dyDescent="0.2">
      <c r="A59" s="6" t="s">
        <v>115</v>
      </c>
      <c r="B59" s="5">
        <v>3</v>
      </c>
      <c r="C59" s="5">
        <v>3</v>
      </c>
      <c r="D59" s="5">
        <v>3</v>
      </c>
      <c r="E59" s="5">
        <v>4</v>
      </c>
      <c r="F59" s="5">
        <v>4</v>
      </c>
      <c r="G59" s="12">
        <v>3</v>
      </c>
      <c r="H59" s="12">
        <v>2.67</v>
      </c>
      <c r="I59" s="7">
        <v>3.3333333333333335</v>
      </c>
      <c r="J59" s="7">
        <v>3</v>
      </c>
      <c r="K59" s="7">
        <v>2.3333333333333335</v>
      </c>
      <c r="L59" s="7">
        <v>3</v>
      </c>
      <c r="M59" s="7">
        <v>2.3333333333333335</v>
      </c>
      <c r="N59" s="12">
        <v>2.33</v>
      </c>
      <c r="O59" s="12">
        <v>1.67</v>
      </c>
      <c r="P59" s="12">
        <v>2</v>
      </c>
      <c r="Q59" s="7">
        <v>1.3333333333333333</v>
      </c>
      <c r="R59" s="7">
        <v>2.3636363636363638</v>
      </c>
      <c r="S59" s="12">
        <v>1.54</v>
      </c>
      <c r="T59" s="7">
        <v>2.4</v>
      </c>
      <c r="U59" s="8">
        <f t="shared" si="8"/>
        <v>2.8099999999999996</v>
      </c>
      <c r="V59" s="8">
        <f t="shared" si="9"/>
        <v>1.8333333333333333</v>
      </c>
      <c r="W59" s="8">
        <f t="shared" si="10"/>
        <v>2.1012121212121211</v>
      </c>
      <c r="X59" s="8">
        <f t="shared" si="11"/>
        <v>2.2481818181818181</v>
      </c>
      <c r="Y59" s="13">
        <v>3.67</v>
      </c>
      <c r="Z59" s="12">
        <v>3.3333333333333335</v>
      </c>
      <c r="AA59" s="7">
        <v>3.3333333333333335</v>
      </c>
      <c r="AB59" s="7">
        <v>3.3333333333333335</v>
      </c>
      <c r="AC59" s="7">
        <v>3.3333333333333335</v>
      </c>
      <c r="AD59" s="7">
        <v>3.3333333333333335</v>
      </c>
      <c r="AE59" s="7">
        <v>3.3333333333333335</v>
      </c>
      <c r="AF59" s="12">
        <v>3.67</v>
      </c>
      <c r="AG59" s="12">
        <v>3</v>
      </c>
      <c r="AH59" s="12">
        <v>3.25</v>
      </c>
      <c r="AI59" s="10">
        <v>1.6666666666666667</v>
      </c>
      <c r="AJ59" s="11">
        <v>2.4090909090909092</v>
      </c>
      <c r="AK59" s="14">
        <v>2.1538461538461537</v>
      </c>
      <c r="AL59" s="11">
        <v>2.4</v>
      </c>
      <c r="AM59" s="8">
        <f t="shared" si="12"/>
        <v>3.3814285714285712</v>
      </c>
      <c r="AN59" s="8">
        <f t="shared" si="13"/>
        <v>2.8966666666666665</v>
      </c>
      <c r="AO59" s="8">
        <f t="shared" si="14"/>
        <v>2.3209790209790211</v>
      </c>
      <c r="AP59" s="8">
        <f t="shared" si="15"/>
        <v>2.8663580863580864</v>
      </c>
    </row>
    <row r="60" spans="1:42" ht="16" x14ac:dyDescent="0.2">
      <c r="A60" s="6" t="s">
        <v>116</v>
      </c>
      <c r="B60" s="5">
        <v>4</v>
      </c>
      <c r="C60" s="5">
        <v>3</v>
      </c>
      <c r="D60" s="5">
        <v>3</v>
      </c>
      <c r="E60" s="5">
        <v>4</v>
      </c>
      <c r="F60" s="5">
        <v>4</v>
      </c>
      <c r="G60" s="12">
        <v>3</v>
      </c>
      <c r="H60" s="7">
        <v>3.3333333333333335</v>
      </c>
      <c r="I60" s="12">
        <v>1.33</v>
      </c>
      <c r="J60" s="7">
        <v>2.6666666666666665</v>
      </c>
      <c r="K60" s="7">
        <v>3.3333333333333335</v>
      </c>
      <c r="L60" s="12">
        <v>2</v>
      </c>
      <c r="M60" s="7">
        <v>3.3333333333333335</v>
      </c>
      <c r="N60" s="7">
        <v>3</v>
      </c>
      <c r="O60" s="12">
        <v>2</v>
      </c>
      <c r="P60" s="12">
        <v>1.67</v>
      </c>
      <c r="Q60" s="7">
        <v>1</v>
      </c>
      <c r="R60" s="12">
        <v>1.68</v>
      </c>
      <c r="S60" s="12">
        <v>1.85</v>
      </c>
      <c r="T60" s="7">
        <v>2.8</v>
      </c>
      <c r="U60" s="8">
        <f t="shared" si="8"/>
        <v>2.7138095238095237</v>
      </c>
      <c r="V60" s="8">
        <f t="shared" si="9"/>
        <v>1.9175</v>
      </c>
      <c r="W60" s="8">
        <f t="shared" si="10"/>
        <v>2.11</v>
      </c>
      <c r="X60" s="8">
        <f t="shared" si="11"/>
        <v>2.2471031746031742</v>
      </c>
      <c r="Y60" s="13">
        <v>3.6666666666666701</v>
      </c>
      <c r="Z60" s="7">
        <v>3.6666666666666665</v>
      </c>
      <c r="AA60" s="12">
        <v>3</v>
      </c>
      <c r="AB60" s="7">
        <v>3.3333333333333335</v>
      </c>
      <c r="AC60" s="7">
        <v>3.3333333333333335</v>
      </c>
      <c r="AD60" s="12">
        <v>3.33</v>
      </c>
      <c r="AE60" s="7">
        <v>3.3333333333333335</v>
      </c>
      <c r="AF60" s="10">
        <v>3</v>
      </c>
      <c r="AG60" s="12">
        <v>3.3333333333333335</v>
      </c>
      <c r="AH60" s="12">
        <v>3.67</v>
      </c>
      <c r="AI60" s="10">
        <v>3.3333333333333335</v>
      </c>
      <c r="AJ60" s="14">
        <v>2.5</v>
      </c>
      <c r="AK60" s="14">
        <v>2.2307692307692308</v>
      </c>
      <c r="AL60" s="11">
        <v>2.8</v>
      </c>
      <c r="AM60" s="8">
        <f t="shared" si="12"/>
        <v>3.3804761904761911</v>
      </c>
      <c r="AN60" s="8">
        <f t="shared" si="13"/>
        <v>3.3341666666666669</v>
      </c>
      <c r="AO60" s="8">
        <f t="shared" si="14"/>
        <v>2.5102564102564102</v>
      </c>
      <c r="AP60" s="8">
        <f t="shared" si="15"/>
        <v>3.0749664224664226</v>
      </c>
    </row>
    <row r="61" spans="1:42" ht="16" x14ac:dyDescent="0.2">
      <c r="A61" s="6" t="s">
        <v>117</v>
      </c>
      <c r="B61" s="5">
        <v>4</v>
      </c>
      <c r="C61" s="5">
        <v>3</v>
      </c>
      <c r="D61" s="5">
        <v>3</v>
      </c>
      <c r="E61" s="5">
        <v>4</v>
      </c>
      <c r="F61" s="5">
        <v>4</v>
      </c>
      <c r="G61" s="7">
        <v>1.3333333333333333</v>
      </c>
      <c r="H61" s="7">
        <v>3</v>
      </c>
      <c r="I61" s="7">
        <v>2</v>
      </c>
      <c r="J61" s="7">
        <v>2</v>
      </c>
      <c r="K61" s="7">
        <v>2</v>
      </c>
      <c r="L61" s="7">
        <v>3.6666666666666665</v>
      </c>
      <c r="M61" s="7">
        <v>1.3333333333333333</v>
      </c>
      <c r="N61" s="12">
        <v>2</v>
      </c>
      <c r="O61" s="7">
        <v>2</v>
      </c>
      <c r="P61" s="7">
        <v>2.3333333333333335</v>
      </c>
      <c r="Q61" s="7">
        <v>1</v>
      </c>
      <c r="R61" s="7">
        <v>2.4545454545454546</v>
      </c>
      <c r="S61" s="7">
        <v>2.3846153846153846</v>
      </c>
      <c r="T61" s="12">
        <v>1.4</v>
      </c>
      <c r="U61" s="8">
        <f t="shared" si="8"/>
        <v>2.1904761904761902</v>
      </c>
      <c r="V61" s="8">
        <f t="shared" si="9"/>
        <v>1.8333333333333335</v>
      </c>
      <c r="W61" s="8">
        <f t="shared" si="10"/>
        <v>2.0797202797202794</v>
      </c>
      <c r="X61" s="8">
        <f t="shared" si="11"/>
        <v>2.0345099345099342</v>
      </c>
      <c r="Y61" s="9">
        <v>3.3333333333333335</v>
      </c>
      <c r="Z61" s="7">
        <v>3.6666666666666665</v>
      </c>
      <c r="AA61" s="7">
        <v>3.3333333333333335</v>
      </c>
      <c r="AB61" s="7">
        <v>3</v>
      </c>
      <c r="AC61" s="7">
        <v>3</v>
      </c>
      <c r="AD61" s="7">
        <v>3.6666666666666665</v>
      </c>
      <c r="AE61" s="7">
        <v>3.3333333333333335</v>
      </c>
      <c r="AF61" s="12">
        <v>3.67</v>
      </c>
      <c r="AG61" s="10">
        <v>3</v>
      </c>
      <c r="AH61" s="10">
        <v>2.6666666666666665</v>
      </c>
      <c r="AI61" s="10">
        <v>1.3333333333333333</v>
      </c>
      <c r="AJ61" s="11">
        <v>2.6363636363636362</v>
      </c>
      <c r="AK61" s="11">
        <v>2.3846153846153846</v>
      </c>
      <c r="AL61" s="14">
        <v>2.8</v>
      </c>
      <c r="AM61" s="8">
        <f t="shared" si="12"/>
        <v>3.3333333333333335</v>
      </c>
      <c r="AN61" s="8">
        <f t="shared" si="13"/>
        <v>2.6675</v>
      </c>
      <c r="AO61" s="8">
        <f t="shared" si="14"/>
        <v>2.6069930069930067</v>
      </c>
      <c r="AP61" s="8">
        <f t="shared" si="15"/>
        <v>2.8692754467754469</v>
      </c>
    </row>
    <row r="62" spans="1:42" ht="16" x14ac:dyDescent="0.2">
      <c r="A62" s="6" t="s">
        <v>118</v>
      </c>
      <c r="B62" s="5">
        <v>4</v>
      </c>
      <c r="C62" s="5">
        <v>4</v>
      </c>
      <c r="D62" s="5">
        <v>4</v>
      </c>
      <c r="E62" s="5">
        <v>4</v>
      </c>
      <c r="F62" s="5">
        <v>4</v>
      </c>
      <c r="G62" s="7">
        <v>1.3333333333333333</v>
      </c>
      <c r="H62" s="7">
        <v>2</v>
      </c>
      <c r="I62" s="7">
        <v>1.6666666666666667</v>
      </c>
      <c r="J62" s="7">
        <v>1.6666666666666667</v>
      </c>
      <c r="K62" s="7">
        <v>1.6666666666666667</v>
      </c>
      <c r="L62" s="7">
        <v>3.3333333333333335</v>
      </c>
      <c r="M62" s="7">
        <v>1.3333333333333333</v>
      </c>
      <c r="N62" s="7">
        <v>2.6666666666666665</v>
      </c>
      <c r="O62" s="7">
        <v>1.6666666666666667</v>
      </c>
      <c r="P62" s="7">
        <v>2.3333333333333335</v>
      </c>
      <c r="Q62" s="7">
        <v>1</v>
      </c>
      <c r="R62" s="12">
        <v>1.55</v>
      </c>
      <c r="S62" s="12">
        <v>1.77</v>
      </c>
      <c r="T62" s="12">
        <v>1.6</v>
      </c>
      <c r="U62" s="8">
        <f t="shared" si="8"/>
        <v>1.8571428571428574</v>
      </c>
      <c r="V62" s="8">
        <f t="shared" si="9"/>
        <v>1.9166666666666665</v>
      </c>
      <c r="W62" s="8">
        <f t="shared" si="10"/>
        <v>1.64</v>
      </c>
      <c r="X62" s="8">
        <f t="shared" si="11"/>
        <v>1.8046031746031745</v>
      </c>
      <c r="Y62" s="9">
        <v>3.5</v>
      </c>
      <c r="Z62" s="7">
        <v>4</v>
      </c>
      <c r="AA62" s="7">
        <v>4</v>
      </c>
      <c r="AB62" s="7">
        <v>3</v>
      </c>
      <c r="AC62" s="7">
        <v>3</v>
      </c>
      <c r="AD62" s="7">
        <v>4</v>
      </c>
      <c r="AE62" s="7">
        <v>3.5</v>
      </c>
      <c r="AF62" s="10">
        <v>3.5</v>
      </c>
      <c r="AG62" s="10">
        <v>4</v>
      </c>
      <c r="AH62" s="10">
        <v>3.5</v>
      </c>
      <c r="AI62" s="10">
        <v>2</v>
      </c>
      <c r="AJ62" s="14">
        <v>2.1818181818181817</v>
      </c>
      <c r="AK62" s="14">
        <v>2.69</v>
      </c>
      <c r="AL62" s="14">
        <v>2.6</v>
      </c>
      <c r="AM62" s="8">
        <f t="shared" si="12"/>
        <v>3.5714285714285716</v>
      </c>
      <c r="AN62" s="8">
        <f t="shared" si="13"/>
        <v>3.25</v>
      </c>
      <c r="AO62" s="8">
        <f t="shared" si="14"/>
        <v>2.4906060606060603</v>
      </c>
      <c r="AP62" s="8">
        <f t="shared" si="15"/>
        <v>3.1040115440115437</v>
      </c>
    </row>
    <row r="63" spans="1:42" ht="16" x14ac:dyDescent="0.2">
      <c r="A63" s="6" t="s">
        <v>119</v>
      </c>
      <c r="B63" s="5">
        <v>3</v>
      </c>
      <c r="C63" s="5">
        <v>4</v>
      </c>
      <c r="D63" s="5">
        <v>3</v>
      </c>
      <c r="E63" s="5">
        <v>4</v>
      </c>
      <c r="F63" s="5">
        <v>4</v>
      </c>
      <c r="G63" s="7">
        <v>1</v>
      </c>
      <c r="H63" s="7">
        <v>2.6666666666666665</v>
      </c>
      <c r="I63" s="7">
        <v>1.6666666666666667</v>
      </c>
      <c r="J63" s="7">
        <v>1.6666666666666667</v>
      </c>
      <c r="K63" s="7">
        <v>1.6666666666666667</v>
      </c>
      <c r="L63" s="7">
        <v>3.3333333333333335</v>
      </c>
      <c r="M63" s="7">
        <v>1</v>
      </c>
      <c r="N63" s="7">
        <v>2</v>
      </c>
      <c r="O63" s="7">
        <v>1.6666666666666667</v>
      </c>
      <c r="P63" s="7">
        <v>2.6666666666666665</v>
      </c>
      <c r="Q63" s="7">
        <v>1</v>
      </c>
      <c r="R63" s="7">
        <v>1.8636363636363635</v>
      </c>
      <c r="S63" s="7">
        <v>2</v>
      </c>
      <c r="T63" s="7">
        <v>1.6</v>
      </c>
      <c r="U63" s="8">
        <f t="shared" si="8"/>
        <v>1.8571428571428572</v>
      </c>
      <c r="V63" s="8">
        <f t="shared" si="9"/>
        <v>1.8333333333333335</v>
      </c>
      <c r="W63" s="8">
        <f t="shared" si="10"/>
        <v>1.8212121212121211</v>
      </c>
      <c r="X63" s="8">
        <f t="shared" si="11"/>
        <v>1.8372294372294373</v>
      </c>
      <c r="Y63" s="9">
        <v>3</v>
      </c>
      <c r="Z63" s="7">
        <v>3.75</v>
      </c>
      <c r="AA63" s="7">
        <v>3.75</v>
      </c>
      <c r="AB63" s="7">
        <v>3</v>
      </c>
      <c r="AC63" s="7">
        <v>3.25</v>
      </c>
      <c r="AD63" s="7">
        <v>3.75</v>
      </c>
      <c r="AE63" s="7">
        <v>3</v>
      </c>
      <c r="AF63" s="10">
        <v>3.5</v>
      </c>
      <c r="AG63" s="10">
        <v>3.5</v>
      </c>
      <c r="AH63" s="10">
        <v>2.75</v>
      </c>
      <c r="AI63" s="10">
        <v>2.5</v>
      </c>
      <c r="AJ63" s="11">
        <v>2.5454545454545454</v>
      </c>
      <c r="AK63" s="11">
        <v>2.6923076923076925</v>
      </c>
      <c r="AL63" s="11">
        <v>2.4</v>
      </c>
      <c r="AM63" s="8">
        <f t="shared" si="12"/>
        <v>3.3571428571428572</v>
      </c>
      <c r="AN63" s="8">
        <f t="shared" si="13"/>
        <v>3.0625</v>
      </c>
      <c r="AO63" s="8">
        <f t="shared" si="14"/>
        <v>2.5459207459207462</v>
      </c>
      <c r="AP63" s="8">
        <f t="shared" si="15"/>
        <v>2.9885212010212014</v>
      </c>
    </row>
    <row r="64" spans="1:42" ht="16" x14ac:dyDescent="0.2">
      <c r="A64" s="6" t="s">
        <v>120</v>
      </c>
      <c r="B64" s="5">
        <v>4</v>
      </c>
      <c r="C64" s="5">
        <v>3</v>
      </c>
      <c r="D64" s="5">
        <v>3</v>
      </c>
      <c r="E64" s="5">
        <v>4</v>
      </c>
      <c r="F64" s="5">
        <v>4</v>
      </c>
      <c r="G64" s="7">
        <v>1.5</v>
      </c>
      <c r="H64" s="7">
        <v>2</v>
      </c>
      <c r="I64" s="7">
        <v>1.5</v>
      </c>
      <c r="J64" s="7">
        <v>1.5</v>
      </c>
      <c r="K64" s="7">
        <v>1.5</v>
      </c>
      <c r="L64" s="7">
        <v>3</v>
      </c>
      <c r="M64" s="7">
        <v>2</v>
      </c>
      <c r="N64" s="7">
        <v>2.5</v>
      </c>
      <c r="O64" s="7">
        <v>2</v>
      </c>
      <c r="P64" s="7">
        <v>2.5</v>
      </c>
      <c r="Q64" s="7">
        <v>1</v>
      </c>
      <c r="R64" s="7">
        <v>2.4545454545454546</v>
      </c>
      <c r="S64" s="7">
        <v>1.9230769230769231</v>
      </c>
      <c r="T64" s="12">
        <v>1.2</v>
      </c>
      <c r="U64" s="8">
        <f t="shared" si="8"/>
        <v>1.8571428571428572</v>
      </c>
      <c r="V64" s="8">
        <f t="shared" si="9"/>
        <v>2</v>
      </c>
      <c r="W64" s="8">
        <f t="shared" si="10"/>
        <v>1.8592074592074592</v>
      </c>
      <c r="X64" s="8">
        <f t="shared" si="11"/>
        <v>1.9054501054501056</v>
      </c>
      <c r="Y64" s="9">
        <v>2.67</v>
      </c>
      <c r="Z64" s="7">
        <v>3</v>
      </c>
      <c r="AA64" s="7">
        <v>3</v>
      </c>
      <c r="AB64" s="7">
        <v>3</v>
      </c>
      <c r="AC64" s="7">
        <v>3.25</v>
      </c>
      <c r="AD64" s="7">
        <v>3.5</v>
      </c>
      <c r="AE64" s="7">
        <v>3.5</v>
      </c>
      <c r="AF64" s="10">
        <v>3</v>
      </c>
      <c r="AG64" s="10">
        <v>3</v>
      </c>
      <c r="AH64" s="10">
        <v>3</v>
      </c>
      <c r="AI64" s="10">
        <v>3.5</v>
      </c>
      <c r="AJ64" s="11">
        <v>2.8181818181818183</v>
      </c>
      <c r="AK64" s="11">
        <v>2.8461538461538463</v>
      </c>
      <c r="AL64" s="14">
        <v>2.6</v>
      </c>
      <c r="AM64" s="8">
        <f t="shared" si="12"/>
        <v>3.1314285714285717</v>
      </c>
      <c r="AN64" s="8">
        <f t="shared" si="13"/>
        <v>3.125</v>
      </c>
      <c r="AO64" s="8">
        <f t="shared" si="14"/>
        <v>2.754778554778555</v>
      </c>
      <c r="AP64" s="8">
        <f t="shared" si="15"/>
        <v>3.0037357087357091</v>
      </c>
    </row>
    <row r="65" spans="1:42" ht="16" x14ac:dyDescent="0.2">
      <c r="A65" s="6" t="s">
        <v>121</v>
      </c>
      <c r="B65" s="5">
        <v>3</v>
      </c>
      <c r="C65" s="5">
        <v>4</v>
      </c>
      <c r="D65" s="5">
        <v>3</v>
      </c>
      <c r="E65" s="5">
        <v>4</v>
      </c>
      <c r="F65" s="5">
        <v>4</v>
      </c>
      <c r="G65" s="7">
        <v>1.5</v>
      </c>
      <c r="H65" s="7">
        <v>2.5</v>
      </c>
      <c r="I65" s="7">
        <v>1.5</v>
      </c>
      <c r="J65" s="7">
        <v>1.5</v>
      </c>
      <c r="K65" s="7">
        <v>3</v>
      </c>
      <c r="L65" s="7">
        <v>3</v>
      </c>
      <c r="M65" s="7">
        <v>2</v>
      </c>
      <c r="N65" s="7">
        <v>1.5</v>
      </c>
      <c r="O65" s="7">
        <v>2.5</v>
      </c>
      <c r="P65" s="7">
        <v>2.5</v>
      </c>
      <c r="Q65" s="7">
        <v>2</v>
      </c>
      <c r="R65" s="7">
        <v>1.6818181818181819</v>
      </c>
      <c r="S65" s="7">
        <v>1.9230769230769231</v>
      </c>
      <c r="T65" s="7">
        <v>1.8</v>
      </c>
      <c r="U65" s="8">
        <f t="shared" si="8"/>
        <v>2.1428571428571428</v>
      </c>
      <c r="V65" s="8">
        <f t="shared" si="9"/>
        <v>2.125</v>
      </c>
      <c r="W65" s="8">
        <f t="shared" si="10"/>
        <v>1.8016317016317016</v>
      </c>
      <c r="X65" s="8">
        <f t="shared" si="11"/>
        <v>2.0231629481629478</v>
      </c>
      <c r="Y65" s="9">
        <v>3</v>
      </c>
      <c r="Z65" s="7">
        <v>3.6666666666666665</v>
      </c>
      <c r="AA65" s="7">
        <v>3</v>
      </c>
      <c r="AB65" s="7">
        <v>3</v>
      </c>
      <c r="AC65" s="7">
        <v>3</v>
      </c>
      <c r="AD65" s="7">
        <v>3.6666666666666665</v>
      </c>
      <c r="AE65" s="7">
        <v>4</v>
      </c>
      <c r="AF65" s="10">
        <v>3</v>
      </c>
      <c r="AG65" s="10">
        <v>3.3333333333333335</v>
      </c>
      <c r="AH65" s="10">
        <v>3</v>
      </c>
      <c r="AI65" s="10">
        <v>2</v>
      </c>
      <c r="AJ65" s="11">
        <v>2.8636363636363638</v>
      </c>
      <c r="AK65" s="11">
        <v>2.8461538461538463</v>
      </c>
      <c r="AL65" s="11">
        <v>2.8</v>
      </c>
      <c r="AM65" s="8">
        <f t="shared" si="12"/>
        <v>3.333333333333333</v>
      </c>
      <c r="AN65" s="8">
        <f t="shared" si="13"/>
        <v>2.8333333333333335</v>
      </c>
      <c r="AO65" s="8">
        <f t="shared" si="14"/>
        <v>2.8365967365967371</v>
      </c>
      <c r="AP65" s="8">
        <f t="shared" si="15"/>
        <v>3.001087801087801</v>
      </c>
    </row>
    <row r="66" spans="1:42" ht="16" x14ac:dyDescent="0.2">
      <c r="A66" s="6" t="s">
        <v>122</v>
      </c>
      <c r="B66" s="5">
        <v>4</v>
      </c>
      <c r="C66" s="5">
        <v>3</v>
      </c>
      <c r="D66" s="5">
        <v>4</v>
      </c>
      <c r="E66" s="5">
        <v>4</v>
      </c>
      <c r="F66" s="5">
        <v>4</v>
      </c>
      <c r="G66" s="7">
        <v>1.6666666666666667</v>
      </c>
      <c r="H66" s="7">
        <v>2.6666666666666665</v>
      </c>
      <c r="I66" s="7">
        <v>3.3333333333333335</v>
      </c>
      <c r="J66" s="7">
        <v>1.6666666666666667</v>
      </c>
      <c r="K66" s="7">
        <v>2.3333333333333335</v>
      </c>
      <c r="L66" s="7">
        <v>3.3333333333333335</v>
      </c>
      <c r="M66" s="7">
        <v>2.3333333333333335</v>
      </c>
      <c r="N66" s="12">
        <v>2</v>
      </c>
      <c r="O66" s="7">
        <v>1.3333333333333333</v>
      </c>
      <c r="P66" s="7">
        <v>2.6666666666666665</v>
      </c>
      <c r="Q66" s="12">
        <v>1.67</v>
      </c>
      <c r="R66" s="7">
        <v>2.2727272727272729</v>
      </c>
      <c r="S66" s="7">
        <v>2.2307692307692308</v>
      </c>
      <c r="T66" s="12">
        <v>1.6</v>
      </c>
      <c r="U66" s="8">
        <f t="shared" ref="U66:U101" si="16">IF(COUNTA(G66:M66)=0,"",AVERAGE(G66:M66))</f>
        <v>2.4761904761904758</v>
      </c>
      <c r="V66" s="8">
        <f t="shared" ref="V66:V101" si="17">IF(COUNTA(N66:Q66)=0,"",AVERAGE(N66:Q66))</f>
        <v>1.9175</v>
      </c>
      <c r="W66" s="8">
        <f t="shared" ref="W66:W101" si="18">IF(COUNTA(R66:T66)=0,"",AVERAGE(R66:T66))</f>
        <v>2.0344988344988342</v>
      </c>
      <c r="X66" s="8">
        <f t="shared" ref="X66:X96" si="19">IF(COUNTA(U66,V66,W66)=0,"",AVERAGE(U66,V66,W66))</f>
        <v>2.1427297702297703</v>
      </c>
      <c r="Y66" s="9">
        <v>2.6666666666666665</v>
      </c>
      <c r="Z66" s="7">
        <v>4</v>
      </c>
      <c r="AA66" s="7">
        <v>3.6666666666666665</v>
      </c>
      <c r="AB66" s="7">
        <v>3</v>
      </c>
      <c r="AC66" s="7">
        <v>3.3333333333333335</v>
      </c>
      <c r="AD66" s="7">
        <v>4</v>
      </c>
      <c r="AE66" s="7">
        <v>3</v>
      </c>
      <c r="AF66" s="12">
        <v>3.75</v>
      </c>
      <c r="AG66" s="10">
        <v>4</v>
      </c>
      <c r="AH66" s="10">
        <v>3.3333333333333335</v>
      </c>
      <c r="AI66" s="12">
        <v>3.67</v>
      </c>
      <c r="AJ66" s="11">
        <v>2.3636363636363638</v>
      </c>
      <c r="AK66" s="11">
        <v>2.7692307692307692</v>
      </c>
      <c r="AL66" s="14">
        <v>2.8</v>
      </c>
      <c r="AM66" s="8">
        <f t="shared" ref="AM66:AM101" si="20">IF(COUNTA(Y66:AE66)=0,"",AVERAGE(Y66:AE66))</f>
        <v>3.3809523809523805</v>
      </c>
      <c r="AN66" s="8">
        <f t="shared" ref="AN66:AN101" si="21">IF(COUNTA(AF66:AI66)=0,"",AVERAGE(AF66:AI66))</f>
        <v>3.6883333333333335</v>
      </c>
      <c r="AO66" s="8">
        <f t="shared" ref="AO66:AO101" si="22">IF(COUNTA(AJ66:AL66)=0,"",AVERAGE(AJ66:AL66))</f>
        <v>2.6442890442890445</v>
      </c>
      <c r="AP66" s="8">
        <f t="shared" ref="AP66:AP96" si="23">IF(COUNTA(AM66,AN66,AO66)=0,"",AVERAGE(AM66,AN66,AO66))</f>
        <v>3.2378582528582527</v>
      </c>
    </row>
    <row r="67" spans="1:42" ht="16" x14ac:dyDescent="0.2">
      <c r="A67" s="6" t="s">
        <v>123</v>
      </c>
      <c r="B67" s="5">
        <v>4</v>
      </c>
      <c r="C67" s="5">
        <v>4</v>
      </c>
      <c r="D67" s="5">
        <v>3</v>
      </c>
      <c r="E67" s="5">
        <v>4</v>
      </c>
      <c r="F67" s="5">
        <v>4</v>
      </c>
      <c r="G67" s="12">
        <v>2.3333333333333335</v>
      </c>
      <c r="H67" s="12">
        <v>2</v>
      </c>
      <c r="I67" s="12">
        <v>1.67</v>
      </c>
      <c r="J67" s="12">
        <v>1.33</v>
      </c>
      <c r="K67" s="7">
        <v>2.3333333333333335</v>
      </c>
      <c r="L67" s="7">
        <v>2.6666666666666665</v>
      </c>
      <c r="M67" s="12">
        <v>1.33</v>
      </c>
      <c r="N67" s="12">
        <v>2</v>
      </c>
      <c r="O67" s="12">
        <v>2</v>
      </c>
      <c r="P67" s="12">
        <v>2</v>
      </c>
      <c r="Q67" s="12">
        <v>2</v>
      </c>
      <c r="R67" s="7">
        <v>1.9230769230769231</v>
      </c>
      <c r="S67" s="7">
        <v>2</v>
      </c>
      <c r="T67" s="7">
        <v>1.8</v>
      </c>
      <c r="U67" s="8">
        <f t="shared" si="16"/>
        <v>1.951904761904762</v>
      </c>
      <c r="V67" s="8">
        <f t="shared" si="17"/>
        <v>2</v>
      </c>
      <c r="W67" s="8">
        <f t="shared" si="18"/>
        <v>1.9076923076923078</v>
      </c>
      <c r="X67" s="8">
        <f t="shared" si="19"/>
        <v>1.9531990231990235</v>
      </c>
      <c r="Y67" s="13">
        <v>3.67</v>
      </c>
      <c r="Z67" s="12">
        <v>3</v>
      </c>
      <c r="AA67" s="12">
        <v>3</v>
      </c>
      <c r="AB67" s="12">
        <v>3.33</v>
      </c>
      <c r="AC67" s="7">
        <v>3.67</v>
      </c>
      <c r="AD67" s="7">
        <v>3.5</v>
      </c>
      <c r="AE67" s="12">
        <v>3</v>
      </c>
      <c r="AF67" s="12">
        <v>3.5</v>
      </c>
      <c r="AG67" s="12">
        <v>3.5</v>
      </c>
      <c r="AH67" s="12">
        <v>3.33</v>
      </c>
      <c r="AI67" s="12">
        <v>3</v>
      </c>
      <c r="AJ67" s="11">
        <v>2.9090909090909092</v>
      </c>
      <c r="AK67" s="11">
        <v>2.6153846153846154</v>
      </c>
      <c r="AL67" s="11">
        <v>2.8</v>
      </c>
      <c r="AM67" s="8">
        <f t="shared" si="20"/>
        <v>3.31</v>
      </c>
      <c r="AN67" s="8">
        <f t="shared" si="21"/>
        <v>3.3325</v>
      </c>
      <c r="AO67" s="8">
        <f t="shared" si="22"/>
        <v>2.7748251748251747</v>
      </c>
      <c r="AP67" s="8">
        <f t="shared" si="23"/>
        <v>3.1391083916083917</v>
      </c>
    </row>
    <row r="68" spans="1:42" ht="16" x14ac:dyDescent="0.2">
      <c r="A68" s="6" t="s">
        <v>124</v>
      </c>
      <c r="B68" s="5">
        <v>4</v>
      </c>
      <c r="C68" s="5">
        <v>4</v>
      </c>
      <c r="D68" s="5">
        <v>3</v>
      </c>
      <c r="E68" s="5">
        <v>4</v>
      </c>
      <c r="F68" s="5">
        <v>4</v>
      </c>
      <c r="G68" s="12">
        <v>3</v>
      </c>
      <c r="H68" s="7">
        <v>3</v>
      </c>
      <c r="I68" s="12">
        <v>1</v>
      </c>
      <c r="J68" s="12">
        <v>3</v>
      </c>
      <c r="K68" s="12">
        <v>1</v>
      </c>
      <c r="L68" s="12">
        <v>2</v>
      </c>
      <c r="M68" s="12">
        <v>2</v>
      </c>
      <c r="N68" s="12">
        <v>2</v>
      </c>
      <c r="O68" s="12">
        <v>2</v>
      </c>
      <c r="P68" s="7">
        <v>3</v>
      </c>
      <c r="Q68" s="7">
        <v>1</v>
      </c>
      <c r="R68" s="7">
        <v>1.2727272727272727</v>
      </c>
      <c r="S68" s="7">
        <v>2</v>
      </c>
      <c r="T68" s="7">
        <v>1.8</v>
      </c>
      <c r="U68" s="8">
        <f t="shared" si="16"/>
        <v>2.1428571428571428</v>
      </c>
      <c r="V68" s="8">
        <f t="shared" si="17"/>
        <v>2</v>
      </c>
      <c r="W68" s="8">
        <f t="shared" si="18"/>
        <v>1.6909090909090907</v>
      </c>
      <c r="X68" s="8">
        <f t="shared" si="19"/>
        <v>1.9445887445887442</v>
      </c>
      <c r="Y68" s="13">
        <v>3.67</v>
      </c>
      <c r="Z68" s="7">
        <v>4</v>
      </c>
      <c r="AA68" s="12">
        <v>3.67</v>
      </c>
      <c r="AB68" s="7">
        <v>3.95</v>
      </c>
      <c r="AC68" s="12">
        <v>3.25</v>
      </c>
      <c r="AD68" s="12">
        <v>3.5</v>
      </c>
      <c r="AE68" s="12">
        <v>3.75</v>
      </c>
      <c r="AF68" s="12">
        <v>3</v>
      </c>
      <c r="AG68" s="12">
        <v>3</v>
      </c>
      <c r="AH68" s="10">
        <v>3</v>
      </c>
      <c r="AI68" s="10">
        <v>1</v>
      </c>
      <c r="AJ68" s="11">
        <v>2.0454545454545454</v>
      </c>
      <c r="AK68" s="11">
        <v>2.2307692307692308</v>
      </c>
      <c r="AL68" s="11">
        <v>2</v>
      </c>
      <c r="AM68" s="8">
        <f t="shared" si="20"/>
        <v>3.6842857142857142</v>
      </c>
      <c r="AN68" s="8">
        <f t="shared" si="21"/>
        <v>2.5</v>
      </c>
      <c r="AO68" s="8">
        <f t="shared" si="22"/>
        <v>2.0920745920745922</v>
      </c>
      <c r="AP68" s="8">
        <f t="shared" si="23"/>
        <v>2.7587867687867687</v>
      </c>
    </row>
    <row r="69" spans="1:42" ht="16" x14ac:dyDescent="0.2">
      <c r="A69" s="6" t="s">
        <v>125</v>
      </c>
      <c r="B69" s="5">
        <v>3</v>
      </c>
      <c r="C69" s="5">
        <v>3</v>
      </c>
      <c r="D69" s="5">
        <v>3</v>
      </c>
      <c r="E69" s="5">
        <v>4</v>
      </c>
      <c r="F69" s="5">
        <v>4</v>
      </c>
      <c r="G69" s="7">
        <v>2</v>
      </c>
      <c r="H69" s="12">
        <v>2</v>
      </c>
      <c r="I69" s="12">
        <v>1</v>
      </c>
      <c r="J69" s="7">
        <v>3</v>
      </c>
      <c r="K69" s="7">
        <v>2</v>
      </c>
      <c r="L69" s="12">
        <v>2</v>
      </c>
      <c r="M69" s="7">
        <v>2</v>
      </c>
      <c r="N69" s="12">
        <v>2</v>
      </c>
      <c r="O69" s="7">
        <v>2</v>
      </c>
      <c r="P69" s="7">
        <v>2</v>
      </c>
      <c r="Q69" s="7">
        <v>1</v>
      </c>
      <c r="R69" s="7">
        <v>2.5</v>
      </c>
      <c r="S69" s="7">
        <v>2.4615384615384617</v>
      </c>
      <c r="T69" s="7">
        <v>2.4</v>
      </c>
      <c r="U69" s="8">
        <f t="shared" si="16"/>
        <v>2</v>
      </c>
      <c r="V69" s="8">
        <f t="shared" si="17"/>
        <v>1.75</v>
      </c>
      <c r="W69" s="8">
        <f t="shared" si="18"/>
        <v>2.453846153846154</v>
      </c>
      <c r="X69" s="8">
        <f t="shared" si="19"/>
        <v>2.0679487179487182</v>
      </c>
      <c r="Y69" s="9">
        <v>3</v>
      </c>
      <c r="Z69" s="12">
        <v>3.5</v>
      </c>
      <c r="AA69" s="12">
        <v>3.5</v>
      </c>
      <c r="AB69" s="7">
        <v>3</v>
      </c>
      <c r="AC69" s="7">
        <v>3.5</v>
      </c>
      <c r="AD69" s="12">
        <v>3.67</v>
      </c>
      <c r="AE69" s="7">
        <v>3</v>
      </c>
      <c r="AF69" s="12">
        <v>3.33</v>
      </c>
      <c r="AG69" s="10">
        <v>2</v>
      </c>
      <c r="AH69" s="10">
        <v>2</v>
      </c>
      <c r="AI69" s="10">
        <v>1.5</v>
      </c>
      <c r="AJ69" s="11">
        <v>2.8636363636363638</v>
      </c>
      <c r="AK69" s="11">
        <v>2.7692307692307692</v>
      </c>
      <c r="AL69" s="11">
        <v>2.8</v>
      </c>
      <c r="AM69" s="8">
        <f t="shared" si="20"/>
        <v>3.31</v>
      </c>
      <c r="AN69" s="8">
        <f t="shared" si="21"/>
        <v>2.2075</v>
      </c>
      <c r="AO69" s="8">
        <f t="shared" si="22"/>
        <v>2.8109557109557115</v>
      </c>
      <c r="AP69" s="8">
        <f t="shared" si="23"/>
        <v>2.776151903651904</v>
      </c>
    </row>
    <row r="70" spans="1:42" ht="16" x14ac:dyDescent="0.2">
      <c r="A70" s="6" t="s">
        <v>126</v>
      </c>
      <c r="B70" s="5">
        <v>4</v>
      </c>
      <c r="C70" s="5">
        <v>3</v>
      </c>
      <c r="D70" s="5">
        <v>4</v>
      </c>
      <c r="E70" s="5">
        <v>4</v>
      </c>
      <c r="F70" s="5">
        <v>4</v>
      </c>
      <c r="G70" s="7">
        <v>2</v>
      </c>
      <c r="H70" s="7">
        <v>3</v>
      </c>
      <c r="I70" s="7">
        <v>1</v>
      </c>
      <c r="J70" s="7">
        <v>2</v>
      </c>
      <c r="K70" s="7">
        <v>3</v>
      </c>
      <c r="L70" s="7">
        <v>2</v>
      </c>
      <c r="M70" s="7">
        <v>2</v>
      </c>
      <c r="N70" s="12">
        <v>2.67</v>
      </c>
      <c r="O70" s="7">
        <v>1</v>
      </c>
      <c r="P70" s="7">
        <v>2</v>
      </c>
      <c r="Q70" s="12">
        <v>1.67</v>
      </c>
      <c r="R70" s="7">
        <v>2.0909090909090908</v>
      </c>
      <c r="S70" s="7">
        <v>2</v>
      </c>
      <c r="T70" s="7">
        <v>2.4</v>
      </c>
      <c r="U70" s="8">
        <f t="shared" si="16"/>
        <v>2.1428571428571428</v>
      </c>
      <c r="V70" s="8">
        <f t="shared" si="17"/>
        <v>1.835</v>
      </c>
      <c r="W70" s="8">
        <f t="shared" si="18"/>
        <v>2.1636363636363636</v>
      </c>
      <c r="X70" s="8">
        <f t="shared" si="19"/>
        <v>2.047164502164502</v>
      </c>
      <c r="Y70" s="9">
        <v>3</v>
      </c>
      <c r="Z70" s="7">
        <v>3.3333333333333335</v>
      </c>
      <c r="AA70" s="7">
        <v>3</v>
      </c>
      <c r="AB70" s="7">
        <v>2.6666666666666665</v>
      </c>
      <c r="AC70" s="7">
        <v>3</v>
      </c>
      <c r="AD70" s="7">
        <v>3</v>
      </c>
      <c r="AE70" s="7">
        <v>3</v>
      </c>
      <c r="AF70" s="12">
        <v>3.75</v>
      </c>
      <c r="AG70" s="10">
        <v>3</v>
      </c>
      <c r="AH70" s="10">
        <v>3</v>
      </c>
      <c r="AI70" s="12">
        <v>3.67</v>
      </c>
      <c r="AJ70" s="11">
        <v>3</v>
      </c>
      <c r="AK70" s="11">
        <v>2.6923076923076925</v>
      </c>
      <c r="AL70" s="11">
        <v>3</v>
      </c>
      <c r="AM70" s="8">
        <f t="shared" si="20"/>
        <v>3</v>
      </c>
      <c r="AN70" s="8">
        <f t="shared" si="21"/>
        <v>3.355</v>
      </c>
      <c r="AO70" s="8">
        <f t="shared" si="22"/>
        <v>2.8974358974358978</v>
      </c>
      <c r="AP70" s="8">
        <f t="shared" si="23"/>
        <v>3.0841452991452996</v>
      </c>
    </row>
    <row r="71" spans="1:42" ht="16" x14ac:dyDescent="0.2">
      <c r="A71" s="6" t="s">
        <v>127</v>
      </c>
      <c r="B71" s="5">
        <v>3</v>
      </c>
      <c r="C71" s="5">
        <v>3</v>
      </c>
      <c r="D71" s="5">
        <v>3</v>
      </c>
      <c r="E71" s="5">
        <v>4</v>
      </c>
      <c r="F71" s="5">
        <v>4</v>
      </c>
      <c r="G71" s="7">
        <v>1.5</v>
      </c>
      <c r="H71" s="7">
        <v>3</v>
      </c>
      <c r="I71" s="7">
        <v>2</v>
      </c>
      <c r="J71" s="7">
        <v>1.5</v>
      </c>
      <c r="K71" s="7">
        <v>1.5</v>
      </c>
      <c r="L71" s="7">
        <v>2</v>
      </c>
      <c r="M71" s="7">
        <v>1.5</v>
      </c>
      <c r="N71" s="7">
        <v>3</v>
      </c>
      <c r="O71" s="12">
        <v>1.5</v>
      </c>
      <c r="P71" s="12">
        <v>1.5</v>
      </c>
      <c r="Q71" s="7">
        <v>1</v>
      </c>
      <c r="R71" s="7">
        <v>2.0909090909090908</v>
      </c>
      <c r="S71" s="7">
        <v>2</v>
      </c>
      <c r="T71" s="7">
        <v>2.2000000000000002</v>
      </c>
      <c r="U71" s="8">
        <f t="shared" si="16"/>
        <v>1.8571428571428572</v>
      </c>
      <c r="V71" s="8">
        <f t="shared" si="17"/>
        <v>1.75</v>
      </c>
      <c r="W71" s="8">
        <f t="shared" si="18"/>
        <v>2.0969696969696972</v>
      </c>
      <c r="X71" s="8">
        <f t="shared" si="19"/>
        <v>1.9013708513708514</v>
      </c>
      <c r="Y71" s="9">
        <v>2.5</v>
      </c>
      <c r="Z71" s="7">
        <v>3.5</v>
      </c>
      <c r="AA71" s="7">
        <v>2.5</v>
      </c>
      <c r="AB71" s="7">
        <v>2.5</v>
      </c>
      <c r="AC71" s="7">
        <v>3</v>
      </c>
      <c r="AD71" s="7">
        <v>4</v>
      </c>
      <c r="AE71" s="7">
        <v>1.5</v>
      </c>
      <c r="AF71" s="10">
        <v>3</v>
      </c>
      <c r="AG71" s="12">
        <v>3</v>
      </c>
      <c r="AH71" s="12">
        <v>3.5</v>
      </c>
      <c r="AI71" s="10">
        <v>1</v>
      </c>
      <c r="AJ71" s="11">
        <v>2.7272727272727271</v>
      </c>
      <c r="AK71" s="11">
        <v>2.2307692307692308</v>
      </c>
      <c r="AL71" s="11">
        <v>2.6</v>
      </c>
      <c r="AM71" s="8">
        <f t="shared" si="20"/>
        <v>2.7857142857142856</v>
      </c>
      <c r="AN71" s="8">
        <f t="shared" si="21"/>
        <v>2.625</v>
      </c>
      <c r="AO71" s="8">
        <f t="shared" si="22"/>
        <v>2.5193473193473195</v>
      </c>
      <c r="AP71" s="8">
        <f t="shared" si="23"/>
        <v>2.6433538683538682</v>
      </c>
    </row>
    <row r="72" spans="1:42" ht="16" x14ac:dyDescent="0.2">
      <c r="A72" s="6" t="s">
        <v>128</v>
      </c>
      <c r="B72" s="5">
        <v>4</v>
      </c>
      <c r="C72" s="5">
        <v>4</v>
      </c>
      <c r="D72" s="5">
        <v>4</v>
      </c>
      <c r="E72" s="5">
        <v>4</v>
      </c>
      <c r="F72" s="5">
        <v>4</v>
      </c>
      <c r="G72" s="7">
        <v>2</v>
      </c>
      <c r="H72" s="7">
        <v>2</v>
      </c>
      <c r="I72" s="7">
        <v>1</v>
      </c>
      <c r="J72" s="7">
        <v>2</v>
      </c>
      <c r="K72" s="7">
        <v>2</v>
      </c>
      <c r="L72" s="12">
        <v>2</v>
      </c>
      <c r="M72" s="7">
        <v>2</v>
      </c>
      <c r="N72" s="7">
        <v>2</v>
      </c>
      <c r="O72" s="7">
        <v>1</v>
      </c>
      <c r="P72" s="7">
        <v>2</v>
      </c>
      <c r="Q72" s="7">
        <v>1</v>
      </c>
      <c r="R72" s="7">
        <v>1.6818181818181819</v>
      </c>
      <c r="S72" s="7">
        <v>2</v>
      </c>
      <c r="T72" s="7">
        <v>1.8</v>
      </c>
      <c r="U72" s="8">
        <f t="shared" si="16"/>
        <v>1.8571428571428572</v>
      </c>
      <c r="V72" s="8">
        <f t="shared" si="17"/>
        <v>1.5</v>
      </c>
      <c r="W72" s="8">
        <f t="shared" si="18"/>
        <v>1.8272727272727272</v>
      </c>
      <c r="X72" s="8">
        <f t="shared" si="19"/>
        <v>1.728138528138528</v>
      </c>
      <c r="Y72" s="9">
        <v>2.5</v>
      </c>
      <c r="Z72" s="7">
        <v>4</v>
      </c>
      <c r="AA72" s="7">
        <v>3.5</v>
      </c>
      <c r="AB72" s="7">
        <v>3.5</v>
      </c>
      <c r="AC72" s="7">
        <v>3</v>
      </c>
      <c r="AD72" s="12">
        <v>3.5</v>
      </c>
      <c r="AE72" s="7">
        <v>4</v>
      </c>
      <c r="AF72" s="10">
        <v>3</v>
      </c>
      <c r="AG72" s="10">
        <v>4</v>
      </c>
      <c r="AH72" s="10">
        <v>3.5</v>
      </c>
      <c r="AI72" s="10">
        <v>2</v>
      </c>
      <c r="AJ72" s="11">
        <v>2.3181818181818183</v>
      </c>
      <c r="AK72" s="11">
        <v>2.0769230769230771</v>
      </c>
      <c r="AL72" s="11">
        <v>2.4</v>
      </c>
      <c r="AM72" s="8">
        <f t="shared" si="20"/>
        <v>3.4285714285714284</v>
      </c>
      <c r="AN72" s="8">
        <f t="shared" si="21"/>
        <v>3.125</v>
      </c>
      <c r="AO72" s="8">
        <f t="shared" si="22"/>
        <v>2.2650349650349653</v>
      </c>
      <c r="AP72" s="8">
        <f t="shared" si="23"/>
        <v>2.939535464535465</v>
      </c>
    </row>
    <row r="73" spans="1:42" ht="16" x14ac:dyDescent="0.2">
      <c r="A73" s="6" t="s">
        <v>129</v>
      </c>
      <c r="B73" s="5">
        <v>4</v>
      </c>
      <c r="C73" s="5">
        <v>3</v>
      </c>
      <c r="D73" s="5">
        <v>3</v>
      </c>
      <c r="E73" s="5">
        <v>4</v>
      </c>
      <c r="F73" s="5">
        <v>4</v>
      </c>
      <c r="G73" s="7">
        <v>2.5</v>
      </c>
      <c r="H73" s="7">
        <v>2</v>
      </c>
      <c r="I73" s="7">
        <v>2.5</v>
      </c>
      <c r="J73" s="7">
        <v>2.5</v>
      </c>
      <c r="K73" s="7">
        <v>2.5</v>
      </c>
      <c r="L73" s="7">
        <v>2.5</v>
      </c>
      <c r="M73" s="7">
        <v>2.5</v>
      </c>
      <c r="N73" s="12">
        <v>1.5</v>
      </c>
      <c r="O73" s="7">
        <v>3.5</v>
      </c>
      <c r="P73" s="7">
        <v>2.5</v>
      </c>
      <c r="Q73" s="7">
        <v>1</v>
      </c>
      <c r="R73" s="7">
        <v>2.1363636363636362</v>
      </c>
      <c r="S73" s="7">
        <v>2.0769230769230771</v>
      </c>
      <c r="T73" s="7">
        <v>2.6</v>
      </c>
      <c r="U73" s="8">
        <f t="shared" si="16"/>
        <v>2.4285714285714284</v>
      </c>
      <c r="V73" s="8">
        <f t="shared" si="17"/>
        <v>2.125</v>
      </c>
      <c r="W73" s="8">
        <f t="shared" si="18"/>
        <v>2.2710955710955711</v>
      </c>
      <c r="X73" s="8">
        <f t="shared" si="19"/>
        <v>2.2748889998890003</v>
      </c>
      <c r="Y73" s="9">
        <v>3.5</v>
      </c>
      <c r="Z73" s="7">
        <v>3.5</v>
      </c>
      <c r="AA73" s="7">
        <v>3.5</v>
      </c>
      <c r="AB73" s="7">
        <v>3.5</v>
      </c>
      <c r="AC73" s="7">
        <v>3.5</v>
      </c>
      <c r="AD73" s="7">
        <v>3.5</v>
      </c>
      <c r="AE73" s="7">
        <v>3.5</v>
      </c>
      <c r="AF73" s="12">
        <v>3.5</v>
      </c>
      <c r="AG73" s="10">
        <v>3.5</v>
      </c>
      <c r="AH73" s="10">
        <v>3</v>
      </c>
      <c r="AI73" s="10">
        <v>3</v>
      </c>
      <c r="AJ73" s="11">
        <v>2.3181818181818183</v>
      </c>
      <c r="AK73" s="11">
        <v>3</v>
      </c>
      <c r="AL73" s="11">
        <v>3</v>
      </c>
      <c r="AM73" s="8">
        <f t="shared" si="20"/>
        <v>3.5</v>
      </c>
      <c r="AN73" s="8">
        <f t="shared" si="21"/>
        <v>3.25</v>
      </c>
      <c r="AO73" s="8">
        <f t="shared" si="22"/>
        <v>2.7727272727272729</v>
      </c>
      <c r="AP73" s="8">
        <f t="shared" si="23"/>
        <v>3.1742424242424243</v>
      </c>
    </row>
    <row r="74" spans="1:42" ht="16" x14ac:dyDescent="0.2">
      <c r="A74" s="6" t="s">
        <v>130</v>
      </c>
      <c r="B74" s="5">
        <v>3</v>
      </c>
      <c r="C74" s="5">
        <v>4</v>
      </c>
      <c r="D74" s="5">
        <v>4</v>
      </c>
      <c r="E74" s="5">
        <v>4</v>
      </c>
      <c r="F74" s="5">
        <v>4</v>
      </c>
      <c r="G74" s="7">
        <v>2</v>
      </c>
      <c r="H74" s="7">
        <v>3.5</v>
      </c>
      <c r="I74" s="7">
        <v>3.5</v>
      </c>
      <c r="J74" s="7">
        <v>1.5</v>
      </c>
      <c r="K74" s="7">
        <v>1.5</v>
      </c>
      <c r="L74" s="7">
        <v>2.5</v>
      </c>
      <c r="M74" s="7">
        <v>2</v>
      </c>
      <c r="N74" s="12">
        <v>1.95</v>
      </c>
      <c r="O74" s="7">
        <v>1</v>
      </c>
      <c r="P74" s="7">
        <v>3</v>
      </c>
      <c r="Q74" s="7">
        <v>1</v>
      </c>
      <c r="R74" s="7">
        <v>2.0909090909090908</v>
      </c>
      <c r="S74" s="12">
        <v>1.62</v>
      </c>
      <c r="T74" s="7">
        <v>2</v>
      </c>
      <c r="U74" s="8">
        <f t="shared" si="16"/>
        <v>2.3571428571428572</v>
      </c>
      <c r="V74" s="8">
        <f t="shared" si="17"/>
        <v>1.7375</v>
      </c>
      <c r="W74" s="8">
        <f t="shared" si="18"/>
        <v>1.9036363636363636</v>
      </c>
      <c r="X74" s="8">
        <f t="shared" si="19"/>
        <v>1.9994264069264069</v>
      </c>
      <c r="Y74" s="9">
        <v>3</v>
      </c>
      <c r="Z74" s="7">
        <v>3.67</v>
      </c>
      <c r="AA74" s="7">
        <v>3.67</v>
      </c>
      <c r="AB74" s="7">
        <v>3</v>
      </c>
      <c r="AC74" s="7">
        <v>3</v>
      </c>
      <c r="AD74" s="7">
        <v>3</v>
      </c>
      <c r="AE74" s="7">
        <v>3.5</v>
      </c>
      <c r="AF74" s="12">
        <v>3.67</v>
      </c>
      <c r="AG74" s="10">
        <v>3</v>
      </c>
      <c r="AH74" s="10">
        <v>3.5</v>
      </c>
      <c r="AI74" s="10">
        <v>4</v>
      </c>
      <c r="AJ74" s="11">
        <v>2.9545454545454546</v>
      </c>
      <c r="AK74" s="14">
        <v>2.69</v>
      </c>
      <c r="AL74" s="11">
        <v>2</v>
      </c>
      <c r="AM74" s="8">
        <f t="shared" si="20"/>
        <v>3.2628571428571429</v>
      </c>
      <c r="AN74" s="8">
        <f t="shared" si="21"/>
        <v>3.5425</v>
      </c>
      <c r="AO74" s="8">
        <f t="shared" si="22"/>
        <v>2.5481818181818183</v>
      </c>
      <c r="AP74" s="8">
        <f t="shared" si="23"/>
        <v>3.1178463203463203</v>
      </c>
    </row>
    <row r="75" spans="1:42" ht="16" x14ac:dyDescent="0.2">
      <c r="A75" s="6" t="s">
        <v>131</v>
      </c>
      <c r="B75" s="5">
        <v>4</v>
      </c>
      <c r="C75" s="5">
        <v>3</v>
      </c>
      <c r="D75" s="5">
        <v>3</v>
      </c>
      <c r="E75" s="5">
        <v>4</v>
      </c>
      <c r="F75" s="5">
        <v>4</v>
      </c>
      <c r="G75" s="7">
        <v>1.6666666666666667</v>
      </c>
      <c r="H75" s="7">
        <v>3.6666666666666665</v>
      </c>
      <c r="I75" s="7">
        <v>2.6666666666666665</v>
      </c>
      <c r="J75" s="7">
        <v>1.6666666666666667</v>
      </c>
      <c r="K75" s="7">
        <v>2</v>
      </c>
      <c r="L75" s="12">
        <v>2.5</v>
      </c>
      <c r="M75" s="7">
        <v>1.3333333333333333</v>
      </c>
      <c r="N75" s="12">
        <v>2.67</v>
      </c>
      <c r="O75" s="7">
        <v>2</v>
      </c>
      <c r="P75" s="7">
        <v>2.3333333333333335</v>
      </c>
      <c r="Q75" s="7">
        <v>1.3333333333333333</v>
      </c>
      <c r="R75" s="7">
        <v>1.7272727272727273</v>
      </c>
      <c r="S75" s="12">
        <v>1.31</v>
      </c>
      <c r="T75" s="7">
        <v>2.6</v>
      </c>
      <c r="U75" s="8">
        <f t="shared" si="16"/>
        <v>2.2142857142857144</v>
      </c>
      <c r="V75" s="8">
        <f t="shared" si="17"/>
        <v>2.0841666666666669</v>
      </c>
      <c r="W75" s="8">
        <f t="shared" si="18"/>
        <v>1.8790909090909089</v>
      </c>
      <c r="X75" s="8">
        <f t="shared" si="19"/>
        <v>2.0591810966810971</v>
      </c>
      <c r="Y75" s="9">
        <v>3.3333333333333335</v>
      </c>
      <c r="Z75" s="7">
        <v>3.6666666666666665</v>
      </c>
      <c r="AA75" s="7">
        <v>3.3333333333333335</v>
      </c>
      <c r="AB75" s="7">
        <v>3.3333333333333335</v>
      </c>
      <c r="AC75" s="7">
        <v>3.3333333333333335</v>
      </c>
      <c r="AD75" s="12">
        <v>3.67</v>
      </c>
      <c r="AE75" s="7">
        <v>3.3333333333333335</v>
      </c>
      <c r="AF75" s="12">
        <v>3</v>
      </c>
      <c r="AG75" s="10">
        <v>3.3333333333333335</v>
      </c>
      <c r="AH75" s="10">
        <v>3</v>
      </c>
      <c r="AI75" s="10">
        <v>2.3333333333333335</v>
      </c>
      <c r="AJ75" s="11">
        <v>2.5</v>
      </c>
      <c r="AK75" s="14">
        <v>2.8461538461538463</v>
      </c>
      <c r="AL75" s="11">
        <v>3</v>
      </c>
      <c r="AM75" s="8">
        <f t="shared" si="20"/>
        <v>3.4290476190476191</v>
      </c>
      <c r="AN75" s="8">
        <f t="shared" si="21"/>
        <v>2.916666666666667</v>
      </c>
      <c r="AO75" s="8">
        <f t="shared" si="22"/>
        <v>2.7820512820512824</v>
      </c>
      <c r="AP75" s="8">
        <f t="shared" si="23"/>
        <v>3.0425885225885225</v>
      </c>
    </row>
    <row r="76" spans="1:42" ht="16" x14ac:dyDescent="0.2">
      <c r="A76" s="6" t="s">
        <v>132</v>
      </c>
      <c r="B76" s="5">
        <v>3</v>
      </c>
      <c r="C76" s="5">
        <v>3</v>
      </c>
      <c r="D76" s="5">
        <v>3</v>
      </c>
      <c r="E76" s="5">
        <v>4</v>
      </c>
      <c r="F76" s="5">
        <v>4</v>
      </c>
      <c r="G76" s="7">
        <v>2</v>
      </c>
      <c r="H76" s="7">
        <v>2.5</v>
      </c>
      <c r="I76" s="7">
        <v>2.5</v>
      </c>
      <c r="J76" s="7">
        <v>3</v>
      </c>
      <c r="K76" s="7">
        <v>2</v>
      </c>
      <c r="L76" s="7">
        <v>2.5</v>
      </c>
      <c r="M76" s="7">
        <v>2.5</v>
      </c>
      <c r="N76" s="7">
        <v>3.5</v>
      </c>
      <c r="O76" s="7">
        <v>2.5</v>
      </c>
      <c r="P76" s="7">
        <v>3</v>
      </c>
      <c r="Q76" s="7">
        <v>2</v>
      </c>
      <c r="R76" s="7">
        <v>1.2727272727272727</v>
      </c>
      <c r="S76" s="7">
        <v>1.2307692307692308</v>
      </c>
      <c r="T76" s="7">
        <v>1.8</v>
      </c>
      <c r="U76" s="8">
        <f t="shared" si="16"/>
        <v>2.4285714285714284</v>
      </c>
      <c r="V76" s="8">
        <f t="shared" si="17"/>
        <v>2.75</v>
      </c>
      <c r="W76" s="8">
        <f t="shared" si="18"/>
        <v>1.4344988344988343</v>
      </c>
      <c r="X76" s="8">
        <f t="shared" si="19"/>
        <v>2.2043567543567542</v>
      </c>
      <c r="Y76" s="9">
        <v>3.3333333333333335</v>
      </c>
      <c r="Z76" s="7">
        <v>3.6666666666666665</v>
      </c>
      <c r="AA76" s="7">
        <v>3</v>
      </c>
      <c r="AB76" s="7">
        <v>3</v>
      </c>
      <c r="AC76" s="7">
        <v>3</v>
      </c>
      <c r="AD76" s="7">
        <v>3</v>
      </c>
      <c r="AE76" s="7">
        <v>2.6666666666666665</v>
      </c>
      <c r="AF76" s="10">
        <v>3.6666666666666665</v>
      </c>
      <c r="AG76" s="10">
        <v>3.6666666666666665</v>
      </c>
      <c r="AH76" s="10">
        <v>3.3333333333333335</v>
      </c>
      <c r="AI76" s="10">
        <v>2.6666666666666665</v>
      </c>
      <c r="AJ76" s="11">
        <v>2.7272727272727271</v>
      </c>
      <c r="AK76" s="11">
        <v>2.1538461538461537</v>
      </c>
      <c r="AL76" s="11">
        <v>2.4</v>
      </c>
      <c r="AM76" s="8">
        <f t="shared" si="20"/>
        <v>3.0952380952380953</v>
      </c>
      <c r="AN76" s="8">
        <f t="shared" si="21"/>
        <v>3.333333333333333</v>
      </c>
      <c r="AO76" s="8">
        <f t="shared" si="22"/>
        <v>2.4270396270396266</v>
      </c>
      <c r="AP76" s="8">
        <f t="shared" si="23"/>
        <v>2.9518703518703515</v>
      </c>
    </row>
    <row r="77" spans="1:42" ht="16" x14ac:dyDescent="0.2">
      <c r="A77" s="6" t="s">
        <v>133</v>
      </c>
      <c r="B77" s="5">
        <v>4</v>
      </c>
      <c r="C77" s="5">
        <v>4</v>
      </c>
      <c r="D77" s="5">
        <v>4</v>
      </c>
      <c r="E77" s="5">
        <v>4</v>
      </c>
      <c r="F77" s="5">
        <v>4</v>
      </c>
      <c r="G77" s="7">
        <v>1.5</v>
      </c>
      <c r="H77" s="7">
        <v>3</v>
      </c>
      <c r="I77" s="7">
        <v>3</v>
      </c>
      <c r="J77" s="7">
        <v>1.5</v>
      </c>
      <c r="K77" s="7">
        <v>1.5</v>
      </c>
      <c r="L77" s="12">
        <v>2</v>
      </c>
      <c r="M77" s="7">
        <v>2</v>
      </c>
      <c r="N77" s="7">
        <v>3</v>
      </c>
      <c r="O77" s="7">
        <v>1.5</v>
      </c>
      <c r="P77" s="7">
        <v>2.5</v>
      </c>
      <c r="Q77" s="7">
        <v>1</v>
      </c>
      <c r="R77" s="7">
        <v>1.4545454545454546</v>
      </c>
      <c r="S77" s="7">
        <v>1.8461538461538463</v>
      </c>
      <c r="T77" s="7">
        <v>1.8</v>
      </c>
      <c r="U77" s="8">
        <f t="shared" si="16"/>
        <v>2.0714285714285716</v>
      </c>
      <c r="V77" s="8">
        <f t="shared" si="17"/>
        <v>2</v>
      </c>
      <c r="W77" s="8">
        <f t="shared" si="18"/>
        <v>1.7002331002331001</v>
      </c>
      <c r="X77" s="8">
        <f t="shared" si="19"/>
        <v>1.9238872238872238</v>
      </c>
      <c r="Y77" s="9">
        <v>3.3333333333333335</v>
      </c>
      <c r="Z77" s="7">
        <v>3.6666666666666665</v>
      </c>
      <c r="AA77" s="7">
        <v>3</v>
      </c>
      <c r="AB77" s="7">
        <v>3.6666666666666665</v>
      </c>
      <c r="AC77" s="7">
        <v>3.3333333333333335</v>
      </c>
      <c r="AD77" s="12">
        <v>3.6666666666666665</v>
      </c>
      <c r="AE77" s="7">
        <v>3.6666666666666665</v>
      </c>
      <c r="AF77" s="10">
        <v>3.3333333333333335</v>
      </c>
      <c r="AG77" s="10">
        <v>4</v>
      </c>
      <c r="AH77" s="10">
        <v>3.3333333333333335</v>
      </c>
      <c r="AI77" s="10">
        <v>4</v>
      </c>
      <c r="AJ77" s="11">
        <v>2.1818181818181817</v>
      </c>
      <c r="AK77" s="11">
        <v>2.3076923076923075</v>
      </c>
      <c r="AL77" s="11">
        <v>2.2000000000000002</v>
      </c>
      <c r="AM77" s="8">
        <f t="shared" si="20"/>
        <v>3.4761904761904767</v>
      </c>
      <c r="AN77" s="8">
        <f t="shared" si="21"/>
        <v>3.666666666666667</v>
      </c>
      <c r="AO77" s="8">
        <f t="shared" si="22"/>
        <v>2.2298368298368296</v>
      </c>
      <c r="AP77" s="8">
        <f t="shared" si="23"/>
        <v>3.1242313242313244</v>
      </c>
    </row>
    <row r="78" spans="1:42" ht="16" x14ac:dyDescent="0.2">
      <c r="A78" s="6" t="s">
        <v>134</v>
      </c>
      <c r="B78" s="5">
        <v>4</v>
      </c>
      <c r="C78" s="5">
        <v>3</v>
      </c>
      <c r="D78" s="5">
        <v>3</v>
      </c>
      <c r="E78" s="5">
        <v>4</v>
      </c>
      <c r="F78" s="5">
        <v>4</v>
      </c>
      <c r="G78" s="7">
        <v>2.5</v>
      </c>
      <c r="H78" s="7">
        <v>3</v>
      </c>
      <c r="I78" s="7">
        <v>2.5</v>
      </c>
      <c r="J78" s="7">
        <v>2.5</v>
      </c>
      <c r="K78" s="7">
        <v>2</v>
      </c>
      <c r="L78" s="7">
        <v>3</v>
      </c>
      <c r="M78" s="7">
        <v>2.5</v>
      </c>
      <c r="N78" s="7">
        <v>2.5</v>
      </c>
      <c r="O78" s="7">
        <v>2.5</v>
      </c>
      <c r="P78" s="7">
        <v>3</v>
      </c>
      <c r="Q78" s="7">
        <v>1</v>
      </c>
      <c r="R78" s="7">
        <v>2.6818181818181817</v>
      </c>
      <c r="S78" s="12">
        <v>1.46</v>
      </c>
      <c r="T78" s="12">
        <v>1.2</v>
      </c>
      <c r="U78" s="8">
        <f t="shared" si="16"/>
        <v>2.5714285714285716</v>
      </c>
      <c r="V78" s="8">
        <f t="shared" si="17"/>
        <v>2.25</v>
      </c>
      <c r="W78" s="8">
        <f t="shared" si="18"/>
        <v>1.7806060606060605</v>
      </c>
      <c r="X78" s="8">
        <f t="shared" si="19"/>
        <v>2.2006782106782103</v>
      </c>
      <c r="Y78" s="9">
        <v>3</v>
      </c>
      <c r="Z78" s="7">
        <v>3</v>
      </c>
      <c r="AA78" s="7">
        <v>3</v>
      </c>
      <c r="AB78" s="7">
        <v>3</v>
      </c>
      <c r="AC78" s="7">
        <v>3</v>
      </c>
      <c r="AD78" s="7">
        <v>3.5</v>
      </c>
      <c r="AE78" s="7">
        <v>3.67</v>
      </c>
      <c r="AF78" s="10">
        <v>3.5</v>
      </c>
      <c r="AG78" s="10">
        <v>3.5</v>
      </c>
      <c r="AH78" s="10">
        <v>3.67</v>
      </c>
      <c r="AI78" s="10">
        <v>3</v>
      </c>
      <c r="AJ78" s="11">
        <v>3</v>
      </c>
      <c r="AK78" s="14">
        <v>2.85</v>
      </c>
      <c r="AL78" s="14">
        <v>2.9</v>
      </c>
      <c r="AM78" s="8">
        <f t="shared" si="20"/>
        <v>3.1671428571428573</v>
      </c>
      <c r="AN78" s="8">
        <f t="shared" si="21"/>
        <v>3.4175</v>
      </c>
      <c r="AO78" s="8">
        <f t="shared" si="22"/>
        <v>2.9166666666666665</v>
      </c>
      <c r="AP78" s="8">
        <f t="shared" si="23"/>
        <v>3.1671031746031741</v>
      </c>
    </row>
    <row r="79" spans="1:42" ht="16" x14ac:dyDescent="0.2">
      <c r="A79" s="6" t="s">
        <v>135</v>
      </c>
      <c r="B79" s="5">
        <v>3</v>
      </c>
      <c r="C79" s="5">
        <v>3</v>
      </c>
      <c r="D79" s="5">
        <v>3</v>
      </c>
      <c r="E79" s="5">
        <v>4</v>
      </c>
      <c r="F79" s="5">
        <v>4</v>
      </c>
      <c r="G79" s="7">
        <v>2</v>
      </c>
      <c r="H79" s="7">
        <v>3.5</v>
      </c>
      <c r="I79" s="7">
        <v>2.5</v>
      </c>
      <c r="J79" s="7">
        <v>2</v>
      </c>
      <c r="K79" s="7">
        <v>1.5</v>
      </c>
      <c r="L79" s="7">
        <v>2</v>
      </c>
      <c r="M79" s="12">
        <v>2</v>
      </c>
      <c r="N79" s="12">
        <v>2</v>
      </c>
      <c r="O79" s="7">
        <v>2</v>
      </c>
      <c r="P79" s="12">
        <v>1</v>
      </c>
      <c r="Q79" s="7">
        <v>1</v>
      </c>
      <c r="R79" s="7">
        <v>1.7272727272727273</v>
      </c>
      <c r="S79" s="7">
        <v>1.2307692307692308</v>
      </c>
      <c r="T79" s="7">
        <v>1.8</v>
      </c>
      <c r="U79" s="8">
        <f t="shared" si="16"/>
        <v>2.2142857142857144</v>
      </c>
      <c r="V79" s="8">
        <f t="shared" si="17"/>
        <v>1.5</v>
      </c>
      <c r="W79" s="8">
        <f t="shared" si="18"/>
        <v>1.5860139860139861</v>
      </c>
      <c r="X79" s="8">
        <f t="shared" si="19"/>
        <v>1.7667665667665668</v>
      </c>
      <c r="Y79" s="9">
        <v>2.5</v>
      </c>
      <c r="Z79" s="7">
        <v>4</v>
      </c>
      <c r="AA79" s="7">
        <v>3</v>
      </c>
      <c r="AB79" s="7">
        <v>2</v>
      </c>
      <c r="AC79" s="7">
        <v>1.5</v>
      </c>
      <c r="AD79" s="7">
        <v>3</v>
      </c>
      <c r="AE79" s="12">
        <v>3.95</v>
      </c>
      <c r="AF79" s="12">
        <v>3.5</v>
      </c>
      <c r="AG79" s="10">
        <v>2.5</v>
      </c>
      <c r="AH79" s="12">
        <v>3</v>
      </c>
      <c r="AI79" s="10">
        <v>1.5</v>
      </c>
      <c r="AJ79" s="11">
        <v>1.8636363636363635</v>
      </c>
      <c r="AK79" s="11">
        <v>1.9230769230769231</v>
      </c>
      <c r="AL79" s="11">
        <v>2</v>
      </c>
      <c r="AM79" s="8">
        <f t="shared" si="20"/>
        <v>2.85</v>
      </c>
      <c r="AN79" s="8">
        <f t="shared" si="21"/>
        <v>2.625</v>
      </c>
      <c r="AO79" s="8">
        <f t="shared" si="22"/>
        <v>1.9289044289044288</v>
      </c>
      <c r="AP79" s="8">
        <f t="shared" si="23"/>
        <v>2.4679681429681426</v>
      </c>
    </row>
    <row r="80" spans="1:42" ht="16" x14ac:dyDescent="0.2">
      <c r="A80" s="6" t="s">
        <v>136</v>
      </c>
      <c r="B80" s="5">
        <v>3</v>
      </c>
      <c r="C80" s="5">
        <v>3</v>
      </c>
      <c r="D80" s="5">
        <v>4</v>
      </c>
      <c r="E80" s="5">
        <v>4</v>
      </c>
      <c r="F80" s="5">
        <v>4</v>
      </c>
      <c r="G80" s="12">
        <v>2</v>
      </c>
      <c r="H80" s="12">
        <v>2</v>
      </c>
      <c r="I80" s="12">
        <v>1.67</v>
      </c>
      <c r="J80" s="12">
        <v>1.33</v>
      </c>
      <c r="K80" s="7">
        <v>2</v>
      </c>
      <c r="L80" s="12">
        <v>1</v>
      </c>
      <c r="M80" s="12">
        <v>2.6666666666666665</v>
      </c>
      <c r="N80" s="7">
        <v>3</v>
      </c>
      <c r="O80" s="7">
        <v>3</v>
      </c>
      <c r="P80" s="7">
        <v>2.6666666666666665</v>
      </c>
      <c r="Q80" s="7">
        <v>1.6666666666666667</v>
      </c>
      <c r="R80" s="7">
        <v>1.9090909090909092</v>
      </c>
      <c r="S80" s="7">
        <v>2</v>
      </c>
      <c r="T80" s="7">
        <v>1.4</v>
      </c>
      <c r="U80" s="8">
        <f t="shared" si="16"/>
        <v>1.8095238095238095</v>
      </c>
      <c r="V80" s="8">
        <f t="shared" si="17"/>
        <v>2.583333333333333</v>
      </c>
      <c r="W80" s="8">
        <f t="shared" si="18"/>
        <v>1.7696969696969695</v>
      </c>
      <c r="X80" s="8">
        <f t="shared" si="19"/>
        <v>2.0541847041847041</v>
      </c>
      <c r="Y80" s="13">
        <v>3</v>
      </c>
      <c r="Z80" s="12">
        <v>3.5</v>
      </c>
      <c r="AA80" s="12">
        <v>3.5</v>
      </c>
      <c r="AB80" s="12">
        <v>3.33</v>
      </c>
      <c r="AC80" s="7">
        <v>2.5</v>
      </c>
      <c r="AD80" s="12">
        <v>3</v>
      </c>
      <c r="AE80" s="12">
        <v>3.75</v>
      </c>
      <c r="AF80" s="10">
        <v>3.5</v>
      </c>
      <c r="AG80" s="10">
        <v>3</v>
      </c>
      <c r="AH80" s="10">
        <v>3</v>
      </c>
      <c r="AI80" s="10">
        <v>2</v>
      </c>
      <c r="AJ80" s="11">
        <v>2.1818181818181817</v>
      </c>
      <c r="AK80" s="11">
        <v>2.8461538461538463</v>
      </c>
      <c r="AL80" s="11">
        <v>3</v>
      </c>
      <c r="AM80" s="8">
        <f t="shared" si="20"/>
        <v>3.2257142857142855</v>
      </c>
      <c r="AN80" s="8">
        <f t="shared" si="21"/>
        <v>2.875</v>
      </c>
      <c r="AO80" s="8">
        <f t="shared" si="22"/>
        <v>2.675990675990676</v>
      </c>
      <c r="AP80" s="8">
        <f t="shared" si="23"/>
        <v>2.9255683205683205</v>
      </c>
    </row>
    <row r="81" spans="1:42" ht="16" x14ac:dyDescent="0.2">
      <c r="A81" s="6" t="s">
        <v>137</v>
      </c>
      <c r="B81" s="5">
        <v>3</v>
      </c>
      <c r="C81" s="5">
        <v>4</v>
      </c>
      <c r="D81" s="5">
        <v>3</v>
      </c>
      <c r="E81" s="5">
        <v>4</v>
      </c>
      <c r="F81" s="5">
        <v>4</v>
      </c>
      <c r="G81" s="7">
        <v>1.6666666666666667</v>
      </c>
      <c r="H81" s="7">
        <v>2.6666666666666665</v>
      </c>
      <c r="I81" s="7">
        <v>2.3333333333333335</v>
      </c>
      <c r="J81" s="7">
        <v>2.3333333333333335</v>
      </c>
      <c r="K81" s="7">
        <v>2</v>
      </c>
      <c r="L81" s="7">
        <v>3.3333333333333335</v>
      </c>
      <c r="M81" s="7">
        <v>2.3333333333333335</v>
      </c>
      <c r="N81" s="7">
        <v>2.6666666666666665</v>
      </c>
      <c r="O81" s="7">
        <v>2.6666666666666665</v>
      </c>
      <c r="P81" s="7">
        <v>2.3333333333333335</v>
      </c>
      <c r="Q81" s="7">
        <v>1.3333333333333333</v>
      </c>
      <c r="R81" s="12">
        <v>1.45</v>
      </c>
      <c r="S81" s="12">
        <v>1.54</v>
      </c>
      <c r="T81" s="7">
        <v>2.6</v>
      </c>
      <c r="U81" s="8">
        <f t="shared" si="16"/>
        <v>2.3809523809523809</v>
      </c>
      <c r="V81" s="8">
        <f t="shared" si="17"/>
        <v>2.25</v>
      </c>
      <c r="W81" s="8">
        <f t="shared" si="18"/>
        <v>1.8633333333333333</v>
      </c>
      <c r="X81" s="8">
        <f t="shared" si="19"/>
        <v>2.1647619047619049</v>
      </c>
      <c r="Y81" s="9">
        <v>3.3333333333333335</v>
      </c>
      <c r="Z81" s="7">
        <v>4</v>
      </c>
      <c r="AA81" s="7">
        <v>3.3333333333333335</v>
      </c>
      <c r="AB81" s="7">
        <v>3</v>
      </c>
      <c r="AC81" s="7">
        <v>3</v>
      </c>
      <c r="AD81" s="7">
        <v>3.6666666666666665</v>
      </c>
      <c r="AE81" s="7">
        <v>2.3333333333333335</v>
      </c>
      <c r="AF81" s="10">
        <v>3.6666666666666665</v>
      </c>
      <c r="AG81" s="10">
        <v>3.6666666666666665</v>
      </c>
      <c r="AH81" s="10">
        <v>3.3333333333333335</v>
      </c>
      <c r="AI81" s="10">
        <v>2.3333333333333335</v>
      </c>
      <c r="AJ81" s="14">
        <v>2.3636363636363638</v>
      </c>
      <c r="AK81" s="14">
        <v>2.4615384615384617</v>
      </c>
      <c r="AL81" s="11">
        <v>2.8</v>
      </c>
      <c r="AM81" s="8">
        <f t="shared" si="20"/>
        <v>3.2380952380952381</v>
      </c>
      <c r="AN81" s="8">
        <f t="shared" si="21"/>
        <v>3.25</v>
      </c>
      <c r="AO81" s="8">
        <f t="shared" si="22"/>
        <v>2.5417249417249415</v>
      </c>
      <c r="AP81" s="8">
        <f t="shared" si="23"/>
        <v>3.0099400599400599</v>
      </c>
    </row>
    <row r="82" spans="1:42" ht="16" x14ac:dyDescent="0.2">
      <c r="A82" s="6" t="s">
        <v>138</v>
      </c>
      <c r="B82" s="5">
        <v>4</v>
      </c>
      <c r="C82" s="5">
        <v>3</v>
      </c>
      <c r="D82" s="5">
        <v>3</v>
      </c>
      <c r="E82" s="5">
        <v>4</v>
      </c>
      <c r="F82" s="5">
        <v>4</v>
      </c>
      <c r="G82" s="12">
        <v>1.6666666666666667</v>
      </c>
      <c r="H82" s="12">
        <v>2.3333333333333335</v>
      </c>
      <c r="I82" s="12">
        <v>1.33</v>
      </c>
      <c r="J82" s="7">
        <v>1.3333333333333333</v>
      </c>
      <c r="K82" s="7">
        <v>1.3333333333333333</v>
      </c>
      <c r="L82" s="12">
        <v>2</v>
      </c>
      <c r="M82" s="7">
        <v>1.6666666666666667</v>
      </c>
      <c r="N82" s="12">
        <v>2</v>
      </c>
      <c r="O82" s="7">
        <v>1.3333333333333333</v>
      </c>
      <c r="P82" s="12">
        <v>2</v>
      </c>
      <c r="Q82" s="7">
        <v>2</v>
      </c>
      <c r="R82" s="7">
        <v>1.6363636363636365</v>
      </c>
      <c r="S82" s="7">
        <v>1.4615384615384615</v>
      </c>
      <c r="T82" s="7">
        <v>1.4</v>
      </c>
      <c r="U82" s="8">
        <f t="shared" si="16"/>
        <v>1.666190476190476</v>
      </c>
      <c r="V82" s="8">
        <f t="shared" si="17"/>
        <v>1.8333333333333333</v>
      </c>
      <c r="W82" s="8">
        <f t="shared" si="18"/>
        <v>1.4993006993006992</v>
      </c>
      <c r="X82" s="8">
        <f t="shared" si="19"/>
        <v>1.6662748362748363</v>
      </c>
      <c r="Y82" s="13">
        <v>3</v>
      </c>
      <c r="Z82" s="12">
        <v>3.67</v>
      </c>
      <c r="AA82" s="12">
        <v>3</v>
      </c>
      <c r="AB82" s="7">
        <v>2</v>
      </c>
      <c r="AC82" s="7">
        <v>2</v>
      </c>
      <c r="AD82" s="12">
        <v>3.33</v>
      </c>
      <c r="AE82" s="7">
        <v>2</v>
      </c>
      <c r="AF82" s="12">
        <v>3.33</v>
      </c>
      <c r="AG82" s="10">
        <v>2</v>
      </c>
      <c r="AH82" s="12">
        <v>3.33</v>
      </c>
      <c r="AI82" s="10">
        <v>2</v>
      </c>
      <c r="AJ82" s="11">
        <v>2.4090909090909092</v>
      </c>
      <c r="AK82" s="11">
        <v>2.6153846153846154</v>
      </c>
      <c r="AL82" s="11">
        <v>2.6</v>
      </c>
      <c r="AM82" s="8">
        <f t="shared" si="20"/>
        <v>2.7142857142857144</v>
      </c>
      <c r="AN82" s="8">
        <f t="shared" si="21"/>
        <v>2.665</v>
      </c>
      <c r="AO82" s="8">
        <f t="shared" si="22"/>
        <v>2.5414918414918417</v>
      </c>
      <c r="AP82" s="8">
        <f t="shared" si="23"/>
        <v>2.6402591852591857</v>
      </c>
    </row>
    <row r="83" spans="1:42" ht="16" x14ac:dyDescent="0.2">
      <c r="A83" s="6" t="s">
        <v>139</v>
      </c>
      <c r="B83" s="5">
        <v>4</v>
      </c>
      <c r="C83" s="5">
        <v>3</v>
      </c>
      <c r="D83" s="5">
        <v>3</v>
      </c>
      <c r="E83" s="5">
        <v>4</v>
      </c>
      <c r="F83" s="5">
        <v>4</v>
      </c>
      <c r="G83" s="7">
        <v>2</v>
      </c>
      <c r="H83" s="7">
        <v>2.6666666666666665</v>
      </c>
      <c r="I83" s="7">
        <v>3.3333333333333335</v>
      </c>
      <c r="J83" s="7">
        <v>2.3333333333333335</v>
      </c>
      <c r="K83" s="7">
        <v>2.6666666666666665</v>
      </c>
      <c r="L83" s="7">
        <v>3.6666666666666665</v>
      </c>
      <c r="M83" s="7">
        <v>2.3333333333333335</v>
      </c>
      <c r="N83" s="7">
        <v>2.6666666666666665</v>
      </c>
      <c r="O83" s="7">
        <v>3</v>
      </c>
      <c r="P83" s="7">
        <v>2.3333333333333335</v>
      </c>
      <c r="Q83" s="7">
        <v>2</v>
      </c>
      <c r="R83" s="7">
        <v>1.3181818181818181</v>
      </c>
      <c r="S83" s="7">
        <v>1.3846153846153846</v>
      </c>
      <c r="T83" s="7">
        <v>1.4</v>
      </c>
      <c r="U83" s="8">
        <f t="shared" si="16"/>
        <v>2.7142857142857144</v>
      </c>
      <c r="V83" s="8">
        <f t="shared" si="17"/>
        <v>2.5</v>
      </c>
      <c r="W83" s="8">
        <f t="shared" si="18"/>
        <v>1.3675990675990672</v>
      </c>
      <c r="X83" s="8">
        <f t="shared" si="19"/>
        <v>2.193961593961594</v>
      </c>
      <c r="Y83" s="9">
        <v>3</v>
      </c>
      <c r="Z83" s="7">
        <v>3</v>
      </c>
      <c r="AA83" s="7">
        <v>3.67</v>
      </c>
      <c r="AB83" s="7">
        <v>3</v>
      </c>
      <c r="AC83" s="7">
        <v>3</v>
      </c>
      <c r="AD83" s="7">
        <v>3.67</v>
      </c>
      <c r="AE83" s="7">
        <v>3.5</v>
      </c>
      <c r="AF83" s="10">
        <v>3.67</v>
      </c>
      <c r="AG83" s="10">
        <v>3</v>
      </c>
      <c r="AH83" s="10">
        <v>3</v>
      </c>
      <c r="AI83" s="10">
        <v>3.67</v>
      </c>
      <c r="AJ83" s="11">
        <v>2.0909090909090908</v>
      </c>
      <c r="AK83" s="11">
        <v>2</v>
      </c>
      <c r="AL83" s="11">
        <v>2.8</v>
      </c>
      <c r="AM83" s="8">
        <f t="shared" si="20"/>
        <v>3.2628571428571429</v>
      </c>
      <c r="AN83" s="8">
        <f t="shared" si="21"/>
        <v>3.335</v>
      </c>
      <c r="AO83" s="8">
        <f t="shared" si="22"/>
        <v>2.2969696969696969</v>
      </c>
      <c r="AP83" s="8">
        <f t="shared" si="23"/>
        <v>2.9649422799422798</v>
      </c>
    </row>
    <row r="84" spans="1:42" ht="16" x14ac:dyDescent="0.2">
      <c r="A84" s="6" t="s">
        <v>140</v>
      </c>
      <c r="B84" s="5">
        <v>3</v>
      </c>
      <c r="C84" s="5">
        <v>3</v>
      </c>
      <c r="D84" s="5">
        <v>3</v>
      </c>
      <c r="E84" s="5">
        <v>4</v>
      </c>
      <c r="F84" s="5">
        <v>4</v>
      </c>
      <c r="G84" s="7">
        <v>2.3333333333333335</v>
      </c>
      <c r="H84" s="7">
        <v>2.6666666666666665</v>
      </c>
      <c r="I84" s="7">
        <v>2.6666666666666665</v>
      </c>
      <c r="J84" s="7">
        <v>2.6666666666666665</v>
      </c>
      <c r="K84" s="7">
        <v>2.6666666666666665</v>
      </c>
      <c r="L84" s="7">
        <v>3.3333333333333335</v>
      </c>
      <c r="M84" s="7">
        <v>2.6666666666666665</v>
      </c>
      <c r="N84" s="7">
        <v>2.6666666666666665</v>
      </c>
      <c r="O84" s="7">
        <v>2.6666666666666665</v>
      </c>
      <c r="P84" s="7">
        <v>3.3333333333333335</v>
      </c>
      <c r="Q84" s="7">
        <v>2</v>
      </c>
      <c r="R84" s="7">
        <v>1.1818181818181819</v>
      </c>
      <c r="S84" s="7">
        <v>1.7692307692307692</v>
      </c>
      <c r="T84" s="7">
        <v>2</v>
      </c>
      <c r="U84" s="8">
        <f t="shared" si="16"/>
        <v>2.7142857142857144</v>
      </c>
      <c r="V84" s="8">
        <f t="shared" si="17"/>
        <v>2.6666666666666665</v>
      </c>
      <c r="W84" s="8">
        <f t="shared" si="18"/>
        <v>1.6503496503496502</v>
      </c>
      <c r="X84" s="8">
        <f t="shared" si="19"/>
        <v>2.3437673437673436</v>
      </c>
      <c r="Y84" s="9">
        <v>3</v>
      </c>
      <c r="Z84" s="7">
        <v>3</v>
      </c>
      <c r="AA84" s="7">
        <v>3.5</v>
      </c>
      <c r="AB84" s="7">
        <v>4</v>
      </c>
      <c r="AC84" s="7">
        <v>3.5</v>
      </c>
      <c r="AD84" s="7">
        <v>3.5</v>
      </c>
      <c r="AE84" s="7">
        <v>3</v>
      </c>
      <c r="AF84" s="10">
        <v>3</v>
      </c>
      <c r="AG84" s="10">
        <v>3.5</v>
      </c>
      <c r="AH84" s="10">
        <v>3.5</v>
      </c>
      <c r="AI84" s="10">
        <v>2.5</v>
      </c>
      <c r="AJ84" s="11">
        <v>2.4090909090909092</v>
      </c>
      <c r="AK84" s="11">
        <v>2.4615384615384617</v>
      </c>
      <c r="AL84" s="11">
        <v>2.6</v>
      </c>
      <c r="AM84" s="8">
        <f t="shared" si="20"/>
        <v>3.3571428571428572</v>
      </c>
      <c r="AN84" s="8">
        <f t="shared" si="21"/>
        <v>3.125</v>
      </c>
      <c r="AO84" s="8">
        <f t="shared" si="22"/>
        <v>2.4902097902097906</v>
      </c>
      <c r="AP84" s="8">
        <f t="shared" si="23"/>
        <v>2.9907842157842164</v>
      </c>
    </row>
    <row r="85" spans="1:42" ht="16" x14ac:dyDescent="0.2">
      <c r="A85" s="6" t="s">
        <v>141</v>
      </c>
      <c r="B85" s="5">
        <v>3</v>
      </c>
      <c r="C85" s="5">
        <v>3</v>
      </c>
      <c r="D85" s="5">
        <v>3</v>
      </c>
      <c r="E85" s="5">
        <v>4</v>
      </c>
      <c r="F85" s="5">
        <v>4</v>
      </c>
      <c r="G85" s="7">
        <v>2</v>
      </c>
      <c r="H85" s="12">
        <v>3</v>
      </c>
      <c r="I85" s="7">
        <v>1.6666666666666667</v>
      </c>
      <c r="J85" s="7">
        <v>2.6666666666666665</v>
      </c>
      <c r="K85" s="7">
        <v>2.6666666666666665</v>
      </c>
      <c r="L85" s="7">
        <v>3</v>
      </c>
      <c r="M85" s="7">
        <v>2.3333333333333335</v>
      </c>
      <c r="N85" s="7">
        <v>3</v>
      </c>
      <c r="O85" s="7">
        <v>3</v>
      </c>
      <c r="P85" s="12">
        <v>1.67</v>
      </c>
      <c r="Q85" s="7">
        <v>1.6666666666666667</v>
      </c>
      <c r="R85" s="7">
        <v>1.0909090909090908</v>
      </c>
      <c r="S85" s="7">
        <v>1.3846153846153846</v>
      </c>
      <c r="T85" s="7">
        <v>2</v>
      </c>
      <c r="U85" s="8">
        <f t="shared" si="16"/>
        <v>2.4761904761904758</v>
      </c>
      <c r="V85" s="8">
        <f t="shared" si="17"/>
        <v>2.3341666666666665</v>
      </c>
      <c r="W85" s="8">
        <f t="shared" si="18"/>
        <v>1.4918414918414917</v>
      </c>
      <c r="X85" s="8">
        <f t="shared" si="19"/>
        <v>2.1007328782328782</v>
      </c>
      <c r="Y85" s="9">
        <v>3</v>
      </c>
      <c r="Z85" s="12">
        <v>3.98</v>
      </c>
      <c r="AA85" s="7">
        <v>3</v>
      </c>
      <c r="AB85" s="7">
        <v>2.6666666666666665</v>
      </c>
      <c r="AC85" s="7">
        <v>3</v>
      </c>
      <c r="AD85" s="7">
        <v>3</v>
      </c>
      <c r="AE85" s="7">
        <v>2.6666666666666665</v>
      </c>
      <c r="AF85" s="10">
        <v>3.3333333333333335</v>
      </c>
      <c r="AG85" s="10">
        <v>3</v>
      </c>
      <c r="AH85" s="12">
        <v>3</v>
      </c>
      <c r="AI85" s="10">
        <v>2.3333333333333335</v>
      </c>
      <c r="AJ85" s="11">
        <v>2.1818181818181817</v>
      </c>
      <c r="AK85" s="11">
        <v>2</v>
      </c>
      <c r="AL85" s="11">
        <v>3</v>
      </c>
      <c r="AM85" s="8">
        <f t="shared" si="20"/>
        <v>3.0447619047619052</v>
      </c>
      <c r="AN85" s="8">
        <f t="shared" si="21"/>
        <v>2.916666666666667</v>
      </c>
      <c r="AO85" s="8">
        <f t="shared" si="22"/>
        <v>2.393939393939394</v>
      </c>
      <c r="AP85" s="8">
        <f t="shared" si="23"/>
        <v>2.7851226551226556</v>
      </c>
    </row>
    <row r="86" spans="1:42" ht="16" x14ac:dyDescent="0.2">
      <c r="A86" s="6" t="s">
        <v>142</v>
      </c>
      <c r="B86" s="5">
        <v>4</v>
      </c>
      <c r="C86" s="5">
        <v>3</v>
      </c>
      <c r="D86" s="5">
        <v>4</v>
      </c>
      <c r="E86" s="5">
        <v>4</v>
      </c>
      <c r="F86" s="5">
        <v>4</v>
      </c>
      <c r="G86" s="7">
        <v>2.6666666666666665</v>
      </c>
      <c r="H86" s="7">
        <v>3</v>
      </c>
      <c r="I86" s="7">
        <v>3.3333333333333335</v>
      </c>
      <c r="J86" s="7">
        <v>2</v>
      </c>
      <c r="K86" s="7">
        <v>2</v>
      </c>
      <c r="L86" s="7">
        <v>3</v>
      </c>
      <c r="M86" s="7">
        <v>2</v>
      </c>
      <c r="N86" s="7">
        <v>2.6666666666666665</v>
      </c>
      <c r="O86" s="7">
        <v>2.6666666666666665</v>
      </c>
      <c r="P86" s="7">
        <v>2.6666666666666665</v>
      </c>
      <c r="Q86" s="7">
        <v>1.6666666666666667</v>
      </c>
      <c r="R86" s="7">
        <v>1</v>
      </c>
      <c r="S86" s="7">
        <v>1.2307692307692308</v>
      </c>
      <c r="T86" s="7">
        <v>1</v>
      </c>
      <c r="U86" s="8">
        <f t="shared" si="16"/>
        <v>2.5714285714285716</v>
      </c>
      <c r="V86" s="8">
        <f t="shared" si="17"/>
        <v>2.4166666666666665</v>
      </c>
      <c r="W86" s="8">
        <f t="shared" si="18"/>
        <v>1.0769230769230769</v>
      </c>
      <c r="X86" s="8">
        <f t="shared" si="19"/>
        <v>2.0216727716727716</v>
      </c>
      <c r="Y86" s="9">
        <v>3</v>
      </c>
      <c r="Z86" s="7">
        <v>3.5</v>
      </c>
      <c r="AA86" s="7">
        <v>3.67</v>
      </c>
      <c r="AB86" s="7">
        <v>3</v>
      </c>
      <c r="AC86" s="7">
        <v>3</v>
      </c>
      <c r="AD86" s="7">
        <v>3.5</v>
      </c>
      <c r="AE86" s="7">
        <v>3.5</v>
      </c>
      <c r="AF86" s="10">
        <v>3.5</v>
      </c>
      <c r="AG86" s="10">
        <v>3</v>
      </c>
      <c r="AH86" s="10">
        <v>3</v>
      </c>
      <c r="AI86" s="10">
        <v>3</v>
      </c>
      <c r="AJ86" s="11">
        <v>2.2727272727272729</v>
      </c>
      <c r="AK86" s="11">
        <v>2.6153846153846154</v>
      </c>
      <c r="AL86" s="11">
        <v>2.2000000000000002</v>
      </c>
      <c r="AM86" s="8">
        <f t="shared" si="20"/>
        <v>3.31</v>
      </c>
      <c r="AN86" s="8">
        <f t="shared" si="21"/>
        <v>3.125</v>
      </c>
      <c r="AO86" s="8">
        <f t="shared" si="22"/>
        <v>2.362703962703963</v>
      </c>
      <c r="AP86" s="8">
        <f t="shared" si="23"/>
        <v>2.9325679875679875</v>
      </c>
    </row>
    <row r="87" spans="1:42" ht="16" x14ac:dyDescent="0.2">
      <c r="A87" s="6" t="s">
        <v>143</v>
      </c>
      <c r="B87" s="5">
        <v>4</v>
      </c>
      <c r="C87" s="5">
        <v>4</v>
      </c>
      <c r="D87" s="5">
        <v>3</v>
      </c>
      <c r="E87" s="5">
        <v>4</v>
      </c>
      <c r="F87" s="5">
        <v>4</v>
      </c>
      <c r="G87" s="7">
        <v>1.6666666666666667</v>
      </c>
      <c r="H87" s="7">
        <v>2.6666666666666665</v>
      </c>
      <c r="I87" s="7">
        <v>1.6666666666666667</v>
      </c>
      <c r="J87" s="7">
        <v>2</v>
      </c>
      <c r="K87" s="7">
        <v>1.6666666666666667</v>
      </c>
      <c r="L87" s="7">
        <v>3.3333333333333335</v>
      </c>
      <c r="M87" s="7">
        <v>1.6666666666666667</v>
      </c>
      <c r="N87" s="7">
        <v>2.6666666666666665</v>
      </c>
      <c r="O87" s="7">
        <v>2</v>
      </c>
      <c r="P87" s="7">
        <v>2</v>
      </c>
      <c r="Q87" s="7">
        <v>1.3333333333333333</v>
      </c>
      <c r="R87" s="7">
        <v>1.6363636363636365</v>
      </c>
      <c r="S87" s="7">
        <v>2</v>
      </c>
      <c r="T87" s="7">
        <v>2</v>
      </c>
      <c r="U87" s="8">
        <f t="shared" si="16"/>
        <v>2.0952380952380953</v>
      </c>
      <c r="V87" s="8">
        <f t="shared" si="17"/>
        <v>1.9999999999999998</v>
      </c>
      <c r="W87" s="8">
        <f t="shared" si="18"/>
        <v>1.8787878787878789</v>
      </c>
      <c r="X87" s="8">
        <f t="shared" si="19"/>
        <v>1.9913419913419912</v>
      </c>
      <c r="Y87" s="9">
        <v>3</v>
      </c>
      <c r="Z87" s="7">
        <v>3.3333333333333335</v>
      </c>
      <c r="AA87" s="7">
        <v>3.3333333333333335</v>
      </c>
      <c r="AB87" s="7">
        <v>3</v>
      </c>
      <c r="AC87" s="7">
        <v>3</v>
      </c>
      <c r="AD87" s="7">
        <v>3.6666666666666665</v>
      </c>
      <c r="AE87" s="7">
        <v>2.3333333333333335</v>
      </c>
      <c r="AF87" s="10">
        <v>3.6666666666666665</v>
      </c>
      <c r="AG87" s="10">
        <v>3.6666666666666665</v>
      </c>
      <c r="AH87" s="10">
        <v>3.3333333333333335</v>
      </c>
      <c r="AI87" s="10">
        <v>3.3333333333333335</v>
      </c>
      <c r="AJ87" s="11">
        <v>3</v>
      </c>
      <c r="AK87" s="11">
        <v>2.6153846153846154</v>
      </c>
      <c r="AL87" s="11">
        <v>2.6</v>
      </c>
      <c r="AM87" s="8">
        <f t="shared" si="20"/>
        <v>3.0952380952380953</v>
      </c>
      <c r="AN87" s="8">
        <f t="shared" si="21"/>
        <v>3.5</v>
      </c>
      <c r="AO87" s="8">
        <f t="shared" si="22"/>
        <v>2.7384615384615381</v>
      </c>
      <c r="AP87" s="8">
        <f t="shared" si="23"/>
        <v>3.1112332112332108</v>
      </c>
    </row>
    <row r="88" spans="1:42" ht="16" x14ac:dyDescent="0.2">
      <c r="A88" s="6" t="s">
        <v>144</v>
      </c>
      <c r="B88" s="5">
        <v>4</v>
      </c>
      <c r="C88" s="5">
        <v>3</v>
      </c>
      <c r="D88" s="5">
        <v>4</v>
      </c>
      <c r="E88" s="5">
        <v>4</v>
      </c>
      <c r="F88" s="5">
        <v>4</v>
      </c>
      <c r="G88" s="7">
        <v>2</v>
      </c>
      <c r="H88" s="7">
        <v>3.6666666666666665</v>
      </c>
      <c r="I88" s="7">
        <v>3</v>
      </c>
      <c r="J88" s="7">
        <v>2</v>
      </c>
      <c r="K88" s="7">
        <v>2.3333333333333335</v>
      </c>
      <c r="L88" s="12">
        <v>2.67</v>
      </c>
      <c r="M88" s="7">
        <v>2</v>
      </c>
      <c r="N88" s="7">
        <v>2.3333333333333335</v>
      </c>
      <c r="O88" s="7">
        <v>2</v>
      </c>
      <c r="P88" s="7">
        <v>2.3333333333333335</v>
      </c>
      <c r="Q88" s="7">
        <v>2.3333333333333335</v>
      </c>
      <c r="R88" s="7">
        <v>1.7727272727272727</v>
      </c>
      <c r="S88" s="7">
        <v>1.6153846153846154</v>
      </c>
      <c r="T88" s="7">
        <v>2</v>
      </c>
      <c r="U88" s="8">
        <f t="shared" si="16"/>
        <v>2.5242857142857145</v>
      </c>
      <c r="V88" s="8">
        <f t="shared" si="17"/>
        <v>2.2500000000000004</v>
      </c>
      <c r="W88" s="8">
        <f t="shared" si="18"/>
        <v>1.7960372960372961</v>
      </c>
      <c r="X88" s="8">
        <f t="shared" si="19"/>
        <v>2.1901076701076705</v>
      </c>
      <c r="Y88" s="9">
        <v>3.3333333333333335</v>
      </c>
      <c r="Z88" s="7">
        <v>3.6666666666666665</v>
      </c>
      <c r="AA88" s="7">
        <v>3.6666666666666665</v>
      </c>
      <c r="AB88" s="7">
        <v>3.3333333333333335</v>
      </c>
      <c r="AC88" s="7">
        <v>3.6666666666666665</v>
      </c>
      <c r="AD88" s="12">
        <v>3.75</v>
      </c>
      <c r="AE88" s="7">
        <v>3.3333333333333335</v>
      </c>
      <c r="AF88" s="10">
        <v>3.3333333333333335</v>
      </c>
      <c r="AG88" s="10">
        <v>3.6666666666666665</v>
      </c>
      <c r="AH88" s="10">
        <v>3.3333333333333335</v>
      </c>
      <c r="AI88" s="10">
        <v>3</v>
      </c>
      <c r="AJ88" s="11">
        <v>2.7727272727272729</v>
      </c>
      <c r="AK88" s="11">
        <v>2.8461538461538463</v>
      </c>
      <c r="AL88" s="11">
        <v>3</v>
      </c>
      <c r="AM88" s="8">
        <f t="shared" si="20"/>
        <v>3.5357142857142856</v>
      </c>
      <c r="AN88" s="8">
        <f t="shared" si="21"/>
        <v>3.3333333333333335</v>
      </c>
      <c r="AO88" s="8">
        <f t="shared" si="22"/>
        <v>2.8729603729603732</v>
      </c>
      <c r="AP88" s="8">
        <f t="shared" si="23"/>
        <v>3.247335997335997</v>
      </c>
    </row>
    <row r="89" spans="1:42" ht="16" x14ac:dyDescent="0.2">
      <c r="A89" s="6" t="s">
        <v>145</v>
      </c>
      <c r="B89" s="5">
        <v>4</v>
      </c>
      <c r="C89" s="5">
        <v>3</v>
      </c>
      <c r="D89" s="5">
        <v>3</v>
      </c>
      <c r="E89" s="5">
        <v>4</v>
      </c>
      <c r="F89" s="5">
        <v>4</v>
      </c>
      <c r="G89" s="12">
        <v>2</v>
      </c>
      <c r="H89" s="7">
        <v>2.6666666666666665</v>
      </c>
      <c r="I89" s="7">
        <v>3.6666666666666665</v>
      </c>
      <c r="J89" s="7">
        <v>2</v>
      </c>
      <c r="K89" s="7">
        <v>2</v>
      </c>
      <c r="L89" s="7">
        <v>3.3333333333333335</v>
      </c>
      <c r="M89" s="12">
        <v>2</v>
      </c>
      <c r="N89" s="12">
        <v>1.33</v>
      </c>
      <c r="O89" s="7">
        <v>2</v>
      </c>
      <c r="P89" s="12">
        <v>2</v>
      </c>
      <c r="Q89" s="7">
        <v>1</v>
      </c>
      <c r="R89" s="7">
        <v>2</v>
      </c>
      <c r="S89" s="7">
        <v>2</v>
      </c>
      <c r="T89" s="7">
        <v>1.2</v>
      </c>
      <c r="U89" s="8">
        <f t="shared" si="16"/>
        <v>2.5238095238095233</v>
      </c>
      <c r="V89" s="8">
        <f t="shared" si="17"/>
        <v>1.5825</v>
      </c>
      <c r="W89" s="8">
        <f t="shared" si="18"/>
        <v>1.7333333333333334</v>
      </c>
      <c r="X89" s="8">
        <f t="shared" si="19"/>
        <v>1.946547619047619</v>
      </c>
      <c r="Y89" s="13">
        <v>3</v>
      </c>
      <c r="Z89" s="7">
        <v>4</v>
      </c>
      <c r="AA89" s="7">
        <v>4</v>
      </c>
      <c r="AB89" s="7">
        <v>2</v>
      </c>
      <c r="AC89" s="7">
        <v>2</v>
      </c>
      <c r="AD89" s="7">
        <v>4</v>
      </c>
      <c r="AE89" s="12">
        <v>3</v>
      </c>
      <c r="AF89" s="12">
        <v>3</v>
      </c>
      <c r="AG89" s="10">
        <v>2</v>
      </c>
      <c r="AH89" s="10">
        <v>3</v>
      </c>
      <c r="AI89" s="12">
        <v>3.67</v>
      </c>
      <c r="AJ89" s="11">
        <v>2</v>
      </c>
      <c r="AK89" s="11">
        <v>2.3076923076923075</v>
      </c>
      <c r="AL89" s="11">
        <v>2.8</v>
      </c>
      <c r="AM89" s="8">
        <f t="shared" si="20"/>
        <v>3.1428571428571428</v>
      </c>
      <c r="AN89" s="8">
        <f t="shared" si="21"/>
        <v>2.9175</v>
      </c>
      <c r="AO89" s="8">
        <f t="shared" si="22"/>
        <v>2.3692307692307693</v>
      </c>
      <c r="AP89" s="8">
        <f t="shared" si="23"/>
        <v>2.8098626373626376</v>
      </c>
    </row>
    <row r="90" spans="1:42" ht="16" x14ac:dyDescent="0.2">
      <c r="A90" s="6" t="s">
        <v>146</v>
      </c>
      <c r="B90" s="5">
        <v>3</v>
      </c>
      <c r="C90" s="5">
        <v>4</v>
      </c>
      <c r="D90" s="5">
        <v>3</v>
      </c>
      <c r="E90" s="5">
        <v>4</v>
      </c>
      <c r="F90" s="5">
        <v>4</v>
      </c>
      <c r="G90" s="12">
        <v>2.6666666666666665</v>
      </c>
      <c r="H90" s="12">
        <v>2.67</v>
      </c>
      <c r="I90" s="12">
        <v>1.33</v>
      </c>
      <c r="J90" s="12">
        <v>1</v>
      </c>
      <c r="K90" s="7">
        <v>2.6666666666666665</v>
      </c>
      <c r="L90" s="12">
        <v>2</v>
      </c>
      <c r="M90" s="12">
        <v>1</v>
      </c>
      <c r="N90" s="12">
        <v>1.67</v>
      </c>
      <c r="O90" s="12">
        <v>2</v>
      </c>
      <c r="P90" s="12">
        <v>2</v>
      </c>
      <c r="Q90" s="7">
        <v>3</v>
      </c>
      <c r="R90" s="7">
        <v>2.4545454545454546</v>
      </c>
      <c r="S90" s="7">
        <v>2.6923076923076925</v>
      </c>
      <c r="T90" s="7">
        <v>2.8</v>
      </c>
      <c r="U90" s="8">
        <f t="shared" si="16"/>
        <v>1.9047619047619047</v>
      </c>
      <c r="V90" s="8">
        <f t="shared" si="17"/>
        <v>2.1675</v>
      </c>
      <c r="W90" s="8">
        <f t="shared" si="18"/>
        <v>2.6489510489510488</v>
      </c>
      <c r="X90" s="8">
        <f t="shared" si="19"/>
        <v>2.2404043179043178</v>
      </c>
      <c r="Y90" s="13">
        <v>3.67</v>
      </c>
      <c r="Z90" s="12">
        <v>3.5</v>
      </c>
      <c r="AA90" s="12">
        <v>3.5</v>
      </c>
      <c r="AB90" s="12">
        <v>3.5</v>
      </c>
      <c r="AC90" s="7">
        <v>3.5</v>
      </c>
      <c r="AD90" s="12">
        <v>3.5</v>
      </c>
      <c r="AE90" s="12">
        <v>3.25</v>
      </c>
      <c r="AF90" s="12">
        <v>3.5</v>
      </c>
      <c r="AG90" s="12">
        <v>3.67</v>
      </c>
      <c r="AH90" s="10">
        <v>2</v>
      </c>
      <c r="AI90" s="12">
        <v>3.67</v>
      </c>
      <c r="AJ90" s="11">
        <v>2.6190476190476191</v>
      </c>
      <c r="AK90" s="11">
        <v>2.8461538461538463</v>
      </c>
      <c r="AL90" s="11">
        <v>3</v>
      </c>
      <c r="AM90" s="8">
        <f t="shared" si="20"/>
        <v>3.4885714285714289</v>
      </c>
      <c r="AN90" s="8">
        <f t="shared" si="21"/>
        <v>3.21</v>
      </c>
      <c r="AO90" s="8">
        <f t="shared" si="22"/>
        <v>2.8217338217338219</v>
      </c>
      <c r="AP90" s="8">
        <f t="shared" si="23"/>
        <v>3.1734350834350837</v>
      </c>
    </row>
    <row r="91" spans="1:42" ht="16" x14ac:dyDescent="0.2">
      <c r="A91" s="6" t="s">
        <v>147</v>
      </c>
      <c r="B91" s="5">
        <v>3</v>
      </c>
      <c r="C91" s="5">
        <v>4</v>
      </c>
      <c r="D91" s="5">
        <v>3</v>
      </c>
      <c r="E91" s="5">
        <v>4</v>
      </c>
      <c r="F91" s="5">
        <v>4</v>
      </c>
      <c r="G91" s="7">
        <v>2.3333333333333335</v>
      </c>
      <c r="H91" s="7">
        <v>3</v>
      </c>
      <c r="I91" s="7">
        <v>3.3333333333333335</v>
      </c>
      <c r="J91" s="7">
        <v>2.3333333333333335</v>
      </c>
      <c r="K91" s="7">
        <v>2.6666666666666665</v>
      </c>
      <c r="L91" s="7">
        <v>3.6666666666666665</v>
      </c>
      <c r="M91" s="12">
        <v>2</v>
      </c>
      <c r="N91" s="12">
        <v>2.33</v>
      </c>
      <c r="O91" s="12">
        <v>2</v>
      </c>
      <c r="P91" s="7">
        <v>3</v>
      </c>
      <c r="Q91" s="12">
        <v>1.67</v>
      </c>
      <c r="R91" s="7">
        <v>1.6363636363636365</v>
      </c>
      <c r="S91" s="7">
        <v>1.7692307692307692</v>
      </c>
      <c r="T91" s="7">
        <v>2</v>
      </c>
      <c r="U91" s="8">
        <f t="shared" si="16"/>
        <v>2.7619047619047623</v>
      </c>
      <c r="V91" s="8">
        <f t="shared" si="17"/>
        <v>2.25</v>
      </c>
      <c r="W91" s="8">
        <f t="shared" si="18"/>
        <v>1.801864801864802</v>
      </c>
      <c r="X91" s="8">
        <f t="shared" si="19"/>
        <v>2.2712565212565217</v>
      </c>
      <c r="Y91" s="9">
        <v>2.6666666666666665</v>
      </c>
      <c r="Z91" s="7">
        <v>3.3333333333333335</v>
      </c>
      <c r="AA91" s="7">
        <v>3.3333333333333335</v>
      </c>
      <c r="AB91" s="7">
        <v>2.3333333333333335</v>
      </c>
      <c r="AC91" s="7">
        <v>3</v>
      </c>
      <c r="AD91" s="7">
        <v>3.6666666666666665</v>
      </c>
      <c r="AE91" s="12">
        <v>3.67</v>
      </c>
      <c r="AF91" s="12">
        <v>3</v>
      </c>
      <c r="AG91" s="12">
        <v>3.75</v>
      </c>
      <c r="AH91" s="10">
        <v>3</v>
      </c>
      <c r="AI91" s="12">
        <v>3.33</v>
      </c>
      <c r="AJ91" s="11">
        <v>3</v>
      </c>
      <c r="AK91" s="11">
        <v>2.8461538461538463</v>
      </c>
      <c r="AL91" s="11">
        <v>3</v>
      </c>
      <c r="AM91" s="8">
        <f t="shared" si="20"/>
        <v>3.143333333333334</v>
      </c>
      <c r="AN91" s="8">
        <f t="shared" si="21"/>
        <v>3.27</v>
      </c>
      <c r="AO91" s="8">
        <f t="shared" si="22"/>
        <v>2.9487179487179489</v>
      </c>
      <c r="AP91" s="8">
        <f t="shared" si="23"/>
        <v>3.120683760683761</v>
      </c>
    </row>
    <row r="92" spans="1:42" ht="16" x14ac:dyDescent="0.2">
      <c r="A92" s="6" t="s">
        <v>148</v>
      </c>
      <c r="B92" s="5">
        <v>4</v>
      </c>
      <c r="C92" s="5">
        <v>3</v>
      </c>
      <c r="D92" s="5">
        <v>3</v>
      </c>
      <c r="E92" s="5">
        <v>4</v>
      </c>
      <c r="F92" s="5">
        <v>4</v>
      </c>
      <c r="G92" s="7">
        <v>1</v>
      </c>
      <c r="H92" s="7">
        <v>3</v>
      </c>
      <c r="I92" s="7">
        <v>3</v>
      </c>
      <c r="J92" s="12">
        <v>1.33</v>
      </c>
      <c r="K92" s="7">
        <v>2.6666666666666665</v>
      </c>
      <c r="L92" s="7">
        <v>3</v>
      </c>
      <c r="M92" s="7">
        <v>2.6666666666666665</v>
      </c>
      <c r="N92" s="12">
        <v>2</v>
      </c>
      <c r="O92" s="7">
        <v>2</v>
      </c>
      <c r="P92" s="7">
        <v>3</v>
      </c>
      <c r="Q92" s="12">
        <v>1.67</v>
      </c>
      <c r="R92" s="7">
        <v>1.5909090909090908</v>
      </c>
      <c r="S92" s="7">
        <v>1.8461538461538463</v>
      </c>
      <c r="T92" s="7">
        <v>2.2000000000000002</v>
      </c>
      <c r="U92" s="8">
        <f t="shared" si="16"/>
        <v>2.3804761904761906</v>
      </c>
      <c r="V92" s="8">
        <f t="shared" si="17"/>
        <v>2.1675</v>
      </c>
      <c r="W92" s="8">
        <f t="shared" si="18"/>
        <v>1.8790209790209793</v>
      </c>
      <c r="X92" s="8">
        <f t="shared" si="19"/>
        <v>2.14233238983239</v>
      </c>
      <c r="Y92" s="13">
        <v>1.5</v>
      </c>
      <c r="Z92" s="7">
        <v>3</v>
      </c>
      <c r="AA92" s="7">
        <v>3</v>
      </c>
      <c r="AB92" s="12">
        <v>3.5</v>
      </c>
      <c r="AC92" s="7">
        <v>3</v>
      </c>
      <c r="AD92" s="7">
        <v>3.5</v>
      </c>
      <c r="AE92" s="12">
        <v>3.5</v>
      </c>
      <c r="AF92" s="12">
        <v>3</v>
      </c>
      <c r="AG92" s="10">
        <v>3.5</v>
      </c>
      <c r="AH92" s="10">
        <v>3</v>
      </c>
      <c r="AI92" s="12">
        <v>3.75</v>
      </c>
      <c r="AJ92" s="11">
        <v>2.4090909090909092</v>
      </c>
      <c r="AK92" s="11">
        <v>2.2307692307692308</v>
      </c>
      <c r="AL92" s="11">
        <v>2.6</v>
      </c>
      <c r="AM92" s="8">
        <f t="shared" si="20"/>
        <v>3</v>
      </c>
      <c r="AN92" s="8">
        <f t="shared" si="21"/>
        <v>3.3125</v>
      </c>
      <c r="AO92" s="8">
        <f t="shared" si="22"/>
        <v>2.4132867132867131</v>
      </c>
      <c r="AP92" s="8">
        <f t="shared" si="23"/>
        <v>2.9085955710955709</v>
      </c>
    </row>
    <row r="93" spans="1:42" ht="16" x14ac:dyDescent="0.2">
      <c r="A93" s="6" t="s">
        <v>149</v>
      </c>
      <c r="B93" s="5">
        <v>4</v>
      </c>
      <c r="C93" s="5">
        <v>3</v>
      </c>
      <c r="D93" s="5">
        <v>3</v>
      </c>
      <c r="E93" s="5">
        <v>4</v>
      </c>
      <c r="F93" s="5">
        <v>4</v>
      </c>
      <c r="G93" s="7">
        <v>2.5</v>
      </c>
      <c r="H93" s="7">
        <v>2.5</v>
      </c>
      <c r="I93" s="7">
        <v>2.5</v>
      </c>
      <c r="J93" s="7">
        <v>2.5</v>
      </c>
      <c r="K93" s="7">
        <v>2.5</v>
      </c>
      <c r="L93" s="7">
        <v>3</v>
      </c>
      <c r="M93" s="7">
        <v>3</v>
      </c>
      <c r="N93" s="7">
        <v>2.5</v>
      </c>
      <c r="O93" s="7">
        <v>2</v>
      </c>
      <c r="P93" s="7">
        <v>3</v>
      </c>
      <c r="Q93" s="7">
        <v>1.5</v>
      </c>
      <c r="R93" s="7">
        <v>2</v>
      </c>
      <c r="S93" s="7">
        <v>1.8461538461538463</v>
      </c>
      <c r="T93" s="7">
        <v>2.6</v>
      </c>
      <c r="U93" s="8">
        <f t="shared" si="16"/>
        <v>2.6428571428571428</v>
      </c>
      <c r="V93" s="8">
        <f t="shared" si="17"/>
        <v>2.25</v>
      </c>
      <c r="W93" s="8">
        <f t="shared" si="18"/>
        <v>2.1487179487179486</v>
      </c>
      <c r="X93" s="8">
        <f t="shared" si="19"/>
        <v>2.3471916971916968</v>
      </c>
      <c r="Y93" s="9">
        <v>3</v>
      </c>
      <c r="Z93" s="7">
        <v>2.5</v>
      </c>
      <c r="AA93" s="7">
        <v>3.5</v>
      </c>
      <c r="AB93" s="7">
        <v>2.5</v>
      </c>
      <c r="AC93" s="7">
        <v>3.5</v>
      </c>
      <c r="AD93" s="7">
        <v>3.5</v>
      </c>
      <c r="AE93" s="7">
        <v>3.5</v>
      </c>
      <c r="AF93" s="10">
        <v>3.5</v>
      </c>
      <c r="AG93" s="10">
        <v>3.5</v>
      </c>
      <c r="AH93" s="10">
        <v>3.5</v>
      </c>
      <c r="AI93" s="10">
        <v>3.5</v>
      </c>
      <c r="AJ93" s="11">
        <v>3</v>
      </c>
      <c r="AK93" s="11">
        <v>3</v>
      </c>
      <c r="AL93" s="11">
        <v>3</v>
      </c>
      <c r="AM93" s="8">
        <f t="shared" si="20"/>
        <v>3.1428571428571428</v>
      </c>
      <c r="AN93" s="8">
        <f t="shared" si="21"/>
        <v>3.5</v>
      </c>
      <c r="AO93" s="8">
        <f t="shared" si="22"/>
        <v>3</v>
      </c>
      <c r="AP93" s="8">
        <f t="shared" si="23"/>
        <v>3.214285714285714</v>
      </c>
    </row>
    <row r="94" spans="1:42" ht="16" x14ac:dyDescent="0.2">
      <c r="A94" s="6" t="s">
        <v>150</v>
      </c>
      <c r="B94" s="5">
        <v>3</v>
      </c>
      <c r="C94" s="5">
        <v>3</v>
      </c>
      <c r="D94" s="5">
        <v>3</v>
      </c>
      <c r="E94" s="5">
        <v>4</v>
      </c>
      <c r="F94" s="5">
        <v>4</v>
      </c>
      <c r="G94" s="12">
        <v>3</v>
      </c>
      <c r="H94" s="7">
        <v>2</v>
      </c>
      <c r="I94" s="7">
        <v>2</v>
      </c>
      <c r="J94" s="7">
        <v>2.5</v>
      </c>
      <c r="K94" s="7">
        <v>2.5</v>
      </c>
      <c r="L94" s="7">
        <v>3</v>
      </c>
      <c r="M94" s="7">
        <v>2.5</v>
      </c>
      <c r="N94" s="7">
        <v>3.5</v>
      </c>
      <c r="O94" s="7">
        <v>3.5</v>
      </c>
      <c r="P94" s="7">
        <v>3</v>
      </c>
      <c r="Q94" s="7">
        <v>1.5</v>
      </c>
      <c r="R94" s="7">
        <v>2.2727272727272729</v>
      </c>
      <c r="S94" s="12">
        <v>1.38</v>
      </c>
      <c r="T94" s="7">
        <v>2.2000000000000002</v>
      </c>
      <c r="U94" s="8">
        <f t="shared" si="16"/>
        <v>2.5</v>
      </c>
      <c r="V94" s="8">
        <f t="shared" si="17"/>
        <v>2.875</v>
      </c>
      <c r="W94" s="8">
        <f t="shared" si="18"/>
        <v>1.9509090909090911</v>
      </c>
      <c r="X94" s="8">
        <f t="shared" si="19"/>
        <v>2.4419696969696969</v>
      </c>
      <c r="Y94" s="13">
        <v>3.67</v>
      </c>
      <c r="Z94" s="7">
        <v>3</v>
      </c>
      <c r="AA94" s="7">
        <v>3</v>
      </c>
      <c r="AB94" s="7">
        <v>3.5</v>
      </c>
      <c r="AC94" s="7">
        <v>3.5</v>
      </c>
      <c r="AD94" s="7">
        <v>3.5</v>
      </c>
      <c r="AE94" s="7">
        <v>3</v>
      </c>
      <c r="AF94" s="10">
        <v>3.67</v>
      </c>
      <c r="AG94" s="10">
        <v>3.67</v>
      </c>
      <c r="AH94" s="10">
        <v>3</v>
      </c>
      <c r="AI94" s="10">
        <v>3</v>
      </c>
      <c r="AJ94" s="11">
        <v>2.5</v>
      </c>
      <c r="AK94" s="14">
        <v>2.0769230769230771</v>
      </c>
      <c r="AL94" s="11">
        <v>2.4</v>
      </c>
      <c r="AM94" s="8">
        <f t="shared" si="20"/>
        <v>3.31</v>
      </c>
      <c r="AN94" s="8">
        <f t="shared" si="21"/>
        <v>3.335</v>
      </c>
      <c r="AO94" s="8">
        <f t="shared" si="22"/>
        <v>2.3256410256410258</v>
      </c>
      <c r="AP94" s="8">
        <f t="shared" si="23"/>
        <v>2.9902136752136754</v>
      </c>
    </row>
    <row r="95" spans="1:42" ht="16" x14ac:dyDescent="0.2">
      <c r="A95" s="6" t="s">
        <v>151</v>
      </c>
      <c r="B95" s="5">
        <v>4</v>
      </c>
      <c r="C95" s="5">
        <v>3</v>
      </c>
      <c r="D95" s="5">
        <v>3</v>
      </c>
      <c r="E95" s="5">
        <v>4</v>
      </c>
      <c r="F95" s="5">
        <v>4</v>
      </c>
      <c r="G95" s="7">
        <v>2</v>
      </c>
      <c r="H95" s="7">
        <v>2.5</v>
      </c>
      <c r="I95" s="7">
        <v>2</v>
      </c>
      <c r="J95" s="7">
        <v>2.5</v>
      </c>
      <c r="K95" s="7">
        <v>2</v>
      </c>
      <c r="L95" s="7">
        <v>3</v>
      </c>
      <c r="M95" s="7">
        <v>2.5</v>
      </c>
      <c r="N95" s="7">
        <v>2</v>
      </c>
      <c r="O95" s="7">
        <v>2.5</v>
      </c>
      <c r="P95" s="7">
        <v>2</v>
      </c>
      <c r="Q95" s="12">
        <v>1.5</v>
      </c>
      <c r="R95" s="7">
        <v>2.4545454545454546</v>
      </c>
      <c r="S95" s="7">
        <v>1.8461538461538463</v>
      </c>
      <c r="T95" s="7">
        <v>2.8</v>
      </c>
      <c r="U95" s="8">
        <f t="shared" si="16"/>
        <v>2.3571428571428572</v>
      </c>
      <c r="V95" s="8">
        <f t="shared" si="17"/>
        <v>2</v>
      </c>
      <c r="W95" s="8">
        <f t="shared" si="18"/>
        <v>2.3668997668997669</v>
      </c>
      <c r="X95" s="8">
        <f t="shared" si="19"/>
        <v>2.2413475413475417</v>
      </c>
      <c r="Y95" s="9">
        <v>2.5</v>
      </c>
      <c r="Z95" s="7">
        <v>3</v>
      </c>
      <c r="AA95" s="7">
        <v>2.5</v>
      </c>
      <c r="AB95" s="7">
        <v>2.5</v>
      </c>
      <c r="AC95" s="7">
        <v>2.5</v>
      </c>
      <c r="AD95" s="7">
        <v>3</v>
      </c>
      <c r="AE95" s="7">
        <v>2.5</v>
      </c>
      <c r="AF95" s="10">
        <v>2.5</v>
      </c>
      <c r="AG95" s="10">
        <v>3</v>
      </c>
      <c r="AH95" s="10">
        <v>2.5</v>
      </c>
      <c r="AI95" s="12">
        <v>3.5</v>
      </c>
      <c r="AJ95" s="11">
        <v>2.6190476190476191</v>
      </c>
      <c r="AK95" s="11">
        <v>2.7692307692307692</v>
      </c>
      <c r="AL95" s="11">
        <v>3</v>
      </c>
      <c r="AM95" s="8">
        <f t="shared" si="20"/>
        <v>2.6428571428571428</v>
      </c>
      <c r="AN95" s="8">
        <f t="shared" si="21"/>
        <v>2.875</v>
      </c>
      <c r="AO95" s="8">
        <f t="shared" si="22"/>
        <v>2.7960927960927964</v>
      </c>
      <c r="AP95" s="8">
        <f t="shared" si="23"/>
        <v>2.7713166463166465</v>
      </c>
    </row>
    <row r="96" spans="1:42" ht="16" x14ac:dyDescent="0.2">
      <c r="A96" s="6" t="s">
        <v>152</v>
      </c>
      <c r="B96" s="5">
        <v>4</v>
      </c>
      <c r="C96" s="5">
        <v>4</v>
      </c>
      <c r="D96" s="5">
        <v>4</v>
      </c>
      <c r="E96" s="5">
        <v>4</v>
      </c>
      <c r="F96" s="5">
        <v>4</v>
      </c>
      <c r="G96" s="7">
        <v>1.3333333333333333</v>
      </c>
      <c r="H96" s="7">
        <v>1.6666666666666667</v>
      </c>
      <c r="I96" s="7">
        <v>2.3333333333333335</v>
      </c>
      <c r="J96" s="7">
        <v>2</v>
      </c>
      <c r="K96" s="7">
        <v>2</v>
      </c>
      <c r="L96" s="7">
        <v>2</v>
      </c>
      <c r="M96" s="7">
        <v>2</v>
      </c>
      <c r="N96" s="7">
        <v>1.6666666666666667</v>
      </c>
      <c r="O96" s="7">
        <v>2.6666666666666665</v>
      </c>
      <c r="P96" s="7">
        <v>2.3333333333333335</v>
      </c>
      <c r="Q96" s="7">
        <v>2</v>
      </c>
      <c r="R96" s="12">
        <v>1.8181818181818181</v>
      </c>
      <c r="S96" s="12">
        <v>1.54</v>
      </c>
      <c r="T96" s="12">
        <v>1.2</v>
      </c>
      <c r="U96" s="8">
        <f t="shared" si="16"/>
        <v>1.9047619047619049</v>
      </c>
      <c r="V96" s="8">
        <f t="shared" si="17"/>
        <v>2.1666666666666665</v>
      </c>
      <c r="W96" s="8">
        <f t="shared" si="18"/>
        <v>1.5193939393939395</v>
      </c>
      <c r="X96" s="8">
        <f t="shared" si="19"/>
        <v>1.8636075036075035</v>
      </c>
      <c r="Y96" s="9">
        <v>3</v>
      </c>
      <c r="Z96" s="7">
        <v>3.5</v>
      </c>
      <c r="AA96" s="7">
        <v>4</v>
      </c>
      <c r="AB96" s="7">
        <v>2.5</v>
      </c>
      <c r="AC96" s="7">
        <v>3.5</v>
      </c>
      <c r="AD96" s="7">
        <v>3.5</v>
      </c>
      <c r="AE96" s="7">
        <v>4</v>
      </c>
      <c r="AF96" s="10">
        <v>3.5</v>
      </c>
      <c r="AG96" s="10">
        <v>3.5</v>
      </c>
      <c r="AH96" s="10">
        <v>3.5</v>
      </c>
      <c r="AI96" s="10">
        <v>3.5</v>
      </c>
      <c r="AJ96" s="14">
        <v>2.77</v>
      </c>
      <c r="AK96" s="14">
        <v>2.85</v>
      </c>
      <c r="AL96" s="14">
        <v>2.6</v>
      </c>
      <c r="AM96" s="8">
        <f t="shared" si="20"/>
        <v>3.4285714285714284</v>
      </c>
      <c r="AN96" s="8">
        <f t="shared" si="21"/>
        <v>3.5</v>
      </c>
      <c r="AO96" s="8">
        <f t="shared" si="22"/>
        <v>2.74</v>
      </c>
      <c r="AP96" s="8">
        <f t="shared" si="23"/>
        <v>3.2228571428571429</v>
      </c>
    </row>
    <row r="97" spans="1:42" ht="16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8" t="str">
        <f t="shared" si="16"/>
        <v/>
      </c>
      <c r="V97" s="8" t="str">
        <f t="shared" si="17"/>
        <v/>
      </c>
      <c r="W97" s="8" t="str">
        <f t="shared" si="18"/>
        <v/>
      </c>
      <c r="X97" s="8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8" t="str">
        <f t="shared" si="20"/>
        <v/>
      </c>
      <c r="AN97" s="8" t="str">
        <f t="shared" si="21"/>
        <v/>
      </c>
      <c r="AO97" s="8" t="str">
        <f t="shared" si="22"/>
        <v/>
      </c>
      <c r="AP97" s="8"/>
    </row>
    <row r="98" spans="1:42" ht="16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8" t="str">
        <f t="shared" si="16"/>
        <v/>
      </c>
      <c r="V98" s="8" t="str">
        <f t="shared" si="17"/>
        <v/>
      </c>
      <c r="W98" s="8" t="str">
        <f t="shared" si="18"/>
        <v/>
      </c>
      <c r="X98" s="8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8" t="str">
        <f t="shared" si="20"/>
        <v/>
      </c>
      <c r="AN98" s="8" t="str">
        <f t="shared" si="21"/>
        <v/>
      </c>
      <c r="AO98" s="8" t="str">
        <f t="shared" si="22"/>
        <v/>
      </c>
      <c r="AP98" s="8"/>
    </row>
    <row r="99" spans="1:42" ht="16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8" t="str">
        <f t="shared" si="16"/>
        <v/>
      </c>
      <c r="V99" s="8" t="str">
        <f t="shared" si="17"/>
        <v/>
      </c>
      <c r="W99" s="8" t="str">
        <f t="shared" si="18"/>
        <v/>
      </c>
      <c r="X99" s="8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8" t="str">
        <f t="shared" si="20"/>
        <v/>
      </c>
      <c r="AN99" s="8" t="str">
        <f t="shared" si="21"/>
        <v/>
      </c>
      <c r="AO99" s="8" t="str">
        <f t="shared" si="22"/>
        <v/>
      </c>
      <c r="AP99" s="8"/>
    </row>
    <row r="100" spans="1:42" ht="16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8" t="str">
        <f t="shared" si="16"/>
        <v/>
      </c>
      <c r="V100" s="8" t="str">
        <f t="shared" si="17"/>
        <v/>
      </c>
      <c r="W100" s="8" t="str">
        <f t="shared" si="18"/>
        <v/>
      </c>
      <c r="X100" s="8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8" t="str">
        <f t="shared" si="20"/>
        <v/>
      </c>
      <c r="AN100" s="8" t="str">
        <f t="shared" si="21"/>
        <v/>
      </c>
      <c r="AO100" s="8" t="str">
        <f t="shared" si="22"/>
        <v/>
      </c>
      <c r="AP100" s="8"/>
    </row>
    <row r="101" spans="1:42" ht="16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8" t="str">
        <f t="shared" si="16"/>
        <v/>
      </c>
      <c r="V101" s="8" t="str">
        <f t="shared" si="17"/>
        <v/>
      </c>
      <c r="W101" s="8" t="str">
        <f t="shared" si="18"/>
        <v/>
      </c>
      <c r="X101" s="8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8" t="str">
        <f t="shared" si="20"/>
        <v/>
      </c>
      <c r="AN101" s="8" t="str">
        <f t="shared" si="21"/>
        <v/>
      </c>
      <c r="AO101" s="8" t="str">
        <f t="shared" si="22"/>
        <v/>
      </c>
      <c r="AP101" s="8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120" customWidth="1"/>
  </cols>
  <sheetData>
    <row r="1" spans="1:1" ht="19" x14ac:dyDescent="0.25">
      <c r="A1" s="1" t="s">
        <v>42</v>
      </c>
    </row>
    <row r="3" spans="1:1" x14ac:dyDescent="0.2">
      <c r="A3" s="2" t="s">
        <v>43</v>
      </c>
    </row>
    <row r="4" spans="1:1" ht="16" x14ac:dyDescent="0.2">
      <c r="A4" s="3" t="s">
        <v>44</v>
      </c>
    </row>
    <row r="5" spans="1:1" ht="16" x14ac:dyDescent="0.2">
      <c r="A5" s="3" t="s">
        <v>153</v>
      </c>
    </row>
    <row r="6" spans="1:1" ht="16" x14ac:dyDescent="0.2">
      <c r="A6" s="3" t="s">
        <v>45</v>
      </c>
    </row>
    <row r="7" spans="1:1" ht="16" x14ac:dyDescent="0.2">
      <c r="A7" s="3" t="s">
        <v>46</v>
      </c>
    </row>
    <row r="8" spans="1:1" ht="16" x14ac:dyDescent="0.2">
      <c r="A8" s="3" t="s">
        <v>47</v>
      </c>
    </row>
    <row r="9" spans="1:1" ht="16" x14ac:dyDescent="0.2">
      <c r="A9" s="3" t="s">
        <v>154</v>
      </c>
    </row>
    <row r="10" spans="1:1" ht="16" x14ac:dyDescent="0.2">
      <c r="A10" s="3" t="s">
        <v>48</v>
      </c>
    </row>
    <row r="11" spans="1:1" ht="16" x14ac:dyDescent="0.2">
      <c r="A11" s="3" t="s">
        <v>49</v>
      </c>
    </row>
    <row r="12" spans="1:1" ht="16" x14ac:dyDescent="0.2">
      <c r="A12" s="3" t="s">
        <v>50</v>
      </c>
    </row>
    <row r="13" spans="1:1" ht="16" x14ac:dyDescent="0.2">
      <c r="A13" s="3" t="s">
        <v>51</v>
      </c>
    </row>
    <row r="14" spans="1:1" ht="16" x14ac:dyDescent="0.2">
      <c r="A14" s="3" t="s">
        <v>52</v>
      </c>
    </row>
    <row r="15" spans="1:1" ht="16" x14ac:dyDescent="0.2">
      <c r="A15" s="3" t="s">
        <v>53</v>
      </c>
    </row>
    <row r="16" spans="1:1" ht="16" x14ac:dyDescent="0.2">
      <c r="A16" s="3" t="s">
        <v>54</v>
      </c>
    </row>
    <row r="17" spans="1:1" ht="16" x14ac:dyDescent="0.2">
      <c r="A17" s="3" t="s">
        <v>55</v>
      </c>
    </row>
    <row r="18" spans="1:1" ht="16" x14ac:dyDescent="0.2">
      <c r="A18" s="3" t="s">
        <v>56</v>
      </c>
    </row>
    <row r="19" spans="1:1" ht="16" x14ac:dyDescent="0.2">
      <c r="A19" s="3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Novi Ratna Dewi, S.Si., M.Pd.</cp:lastModifiedBy>
  <dcterms:created xsi:type="dcterms:W3CDTF">2026-02-07T03:54:38Z</dcterms:created>
  <dcterms:modified xsi:type="dcterms:W3CDTF">2026-02-07T05:33:44Z</dcterms:modified>
</cp:coreProperties>
</file>